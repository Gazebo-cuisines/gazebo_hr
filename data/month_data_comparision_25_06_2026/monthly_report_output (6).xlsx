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078"/>
      <sz val="14"/>
    </font>
    <font>
      <name val="Calibri"/>
      <i val="1"/>
      <color rgb="00666666"/>
      <sz val="10"/>
    </font>
    <font>
      <name val="Calibri"/>
      <b val="1"/>
      <color rgb="0033333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1</t>
        </is>
      </c>
    </row>
    <row r="2">
      <c r="A2" s="2" t="inlineStr"/>
    </row>
    <row r="4">
      <c r="A4" s="3" t="inlineStr">
        <is>
          <t>Week 1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32.25</v>
      </c>
      <c r="E7" s="7" t="n">
        <v>0</v>
      </c>
      <c r="F7" s="7" t="n">
        <v>0</v>
      </c>
      <c r="G7" s="7" t="n">
        <v>0</v>
      </c>
      <c r="H7" s="7" t="n">
        <v>32.25</v>
      </c>
      <c r="I7" s="7" t="n">
        <v>0</v>
      </c>
      <c r="J7" s="7" t="n">
        <v>32.25</v>
      </c>
      <c r="K7" s="7" t="n">
        <v>3.89</v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7" t="n">
        <v>32</v>
      </c>
      <c r="E8" s="7" t="n">
        <v>7.5</v>
      </c>
      <c r="F8" s="7" t="n">
        <v>0</v>
      </c>
      <c r="G8" s="7" t="n">
        <v>0</v>
      </c>
      <c r="H8" s="7" t="n">
        <v>39.5</v>
      </c>
      <c r="I8" s="7" t="n">
        <v>0</v>
      </c>
      <c r="J8" s="7" t="n">
        <v>39.5</v>
      </c>
      <c r="K8" s="7" t="n">
        <v>4.77</v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7" t="n">
        <v>37</v>
      </c>
      <c r="E9" s="7" t="n">
        <v>7.5</v>
      </c>
      <c r="F9" s="7" t="n">
        <v>0</v>
      </c>
      <c r="G9" s="7" t="n">
        <v>0</v>
      </c>
      <c r="H9" s="7" t="n">
        <v>44.5</v>
      </c>
      <c r="I9" s="7" t="n">
        <v>0</v>
      </c>
      <c r="J9" s="7" t="n">
        <v>44.5</v>
      </c>
      <c r="K9" s="7" t="n">
        <v>5.37</v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7" t="n">
        <v>32</v>
      </c>
      <c r="E10" s="7" t="n">
        <v>0</v>
      </c>
      <c r="F10" s="7" t="n">
        <v>0</v>
      </c>
      <c r="G10" s="7" t="n">
        <v>0</v>
      </c>
      <c r="H10" s="7" t="n">
        <v>32</v>
      </c>
      <c r="I10" s="7" t="n">
        <v>0</v>
      </c>
      <c r="J10" s="7" t="n">
        <v>32</v>
      </c>
      <c r="K10" s="7" t="n">
        <v>3.86</v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7" t="n">
        <v>37.5</v>
      </c>
      <c r="E11" s="7" t="n">
        <v>0</v>
      </c>
      <c r="F11" s="7" t="n">
        <v>0</v>
      </c>
      <c r="G11" s="7" t="n">
        <v>0</v>
      </c>
      <c r="H11" s="7" t="n">
        <v>37.5</v>
      </c>
      <c r="I11" s="7" t="n">
        <v>0</v>
      </c>
      <c r="J11" s="7" t="n">
        <v>37.5</v>
      </c>
      <c r="K11" s="7" t="n">
        <v>4.53</v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7" t="n">
        <v>22.5</v>
      </c>
      <c r="E12" s="7" t="n">
        <v>0</v>
      </c>
      <c r="F12" s="7" t="n">
        <v>0</v>
      </c>
      <c r="G12" s="7" t="n">
        <v>0</v>
      </c>
      <c r="H12" s="7" t="n">
        <v>22.5</v>
      </c>
      <c r="I12" s="7" t="n">
        <v>0</v>
      </c>
      <c r="J12" s="7" t="n">
        <v>22.5</v>
      </c>
      <c r="K12" s="7" t="n">
        <v>2.72</v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7" t="n">
        <v>31</v>
      </c>
      <c r="E13" s="7" t="n">
        <v>6.25</v>
      </c>
      <c r="F13" s="7" t="n">
        <v>0</v>
      </c>
      <c r="G13" s="7" t="n">
        <v>0</v>
      </c>
      <c r="H13" s="7" t="n">
        <v>37.25</v>
      </c>
      <c r="I13" s="7" t="n">
        <v>0</v>
      </c>
      <c r="J13" s="7" t="n">
        <v>37.25</v>
      </c>
      <c r="K13" s="7" t="n">
        <v>4.5</v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7" t="n">
        <v>38.25</v>
      </c>
      <c r="E14" s="7" t="n">
        <v>0</v>
      </c>
      <c r="F14" s="7" t="n">
        <v>0</v>
      </c>
      <c r="G14" s="7" t="n">
        <v>0</v>
      </c>
      <c r="H14" s="7" t="n">
        <v>38.25</v>
      </c>
      <c r="I14" s="7" t="n">
        <v>0</v>
      </c>
      <c r="J14" s="7" t="n">
        <v>38.25</v>
      </c>
      <c r="K14" s="7" t="n">
        <v>4.62</v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6" t="inlineStr">
        <is>
          <t>RUTIKABEN VADDORIYA EOLL</t>
        </is>
      </c>
      <c r="B19" s="6" t="inlineStr">
        <is>
          <t>A-EL PKNG HIGH_RISK</t>
        </is>
      </c>
      <c r="C19" s="7" t="n">
        <v>1515</v>
      </c>
      <c r="D19" s="7" t="n">
        <v>32.5</v>
      </c>
      <c r="E19" s="7" t="n">
        <v>0</v>
      </c>
      <c r="F19" s="7" t="n">
        <v>0</v>
      </c>
      <c r="G19" s="7" t="n">
        <v>0</v>
      </c>
      <c r="H19" s="7" t="n">
        <v>32.5</v>
      </c>
      <c r="I19" s="7" t="n">
        <v>0</v>
      </c>
      <c r="J19" s="7" t="n">
        <v>32.5</v>
      </c>
      <c r="K19" s="7" t="n">
        <v>3.92</v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7" t="n">
        <v>29.75</v>
      </c>
      <c r="E22" s="7" t="n">
        <v>0</v>
      </c>
      <c r="F22" s="7" t="n">
        <v>0</v>
      </c>
      <c r="G22" s="7" t="n">
        <v>0</v>
      </c>
      <c r="H22" s="7" t="n">
        <v>29.75</v>
      </c>
      <c r="I22" s="7" t="n">
        <v>0</v>
      </c>
      <c r="J22" s="7" t="n">
        <v>29.75</v>
      </c>
      <c r="K22" s="7" t="n">
        <v>3.59</v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7" t="n">
        <v>7.25</v>
      </c>
      <c r="E24" s="7" t="n">
        <v>0</v>
      </c>
      <c r="F24" s="7" t="n">
        <v>0</v>
      </c>
      <c r="G24" s="7" t="n">
        <v>0</v>
      </c>
      <c r="H24" s="7" t="n">
        <v>7.25</v>
      </c>
      <c r="I24" s="7" t="n">
        <v>0</v>
      </c>
      <c r="J24" s="7" t="n">
        <v>7.25</v>
      </c>
      <c r="K24" s="7" t="n">
        <v>0.88</v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7" t="n">
        <v>32.25</v>
      </c>
      <c r="E26" s="7" t="n">
        <v>0</v>
      </c>
      <c r="F26" s="7" t="n">
        <v>0</v>
      </c>
      <c r="G26" s="7" t="n">
        <v>0</v>
      </c>
      <c r="H26" s="7" t="n">
        <v>32.25</v>
      </c>
      <c r="I26" s="7" t="n">
        <v>0</v>
      </c>
      <c r="J26" s="7" t="n">
        <v>32.25</v>
      </c>
      <c r="K26" s="7" t="n">
        <v>3.89</v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7" t="n">
        <v>9</v>
      </c>
      <c r="E27" s="7" t="n">
        <v>0</v>
      </c>
      <c r="F27" s="7" t="n">
        <v>0</v>
      </c>
      <c r="G27" s="7" t="n">
        <v>0</v>
      </c>
      <c r="H27" s="7" t="n">
        <v>9</v>
      </c>
      <c r="I27" s="7" t="n">
        <v>0</v>
      </c>
      <c r="J27" s="7" t="n">
        <v>9</v>
      </c>
      <c r="K27" s="7" t="n">
        <v>1.09</v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7" t="n">
        <v>22.5</v>
      </c>
      <c r="E31" s="7" t="n">
        <v>0</v>
      </c>
      <c r="F31" s="7" t="n">
        <v>0</v>
      </c>
      <c r="G31" s="7" t="n">
        <v>0</v>
      </c>
      <c r="H31" s="7" t="n">
        <v>22.5</v>
      </c>
      <c r="I31" s="7" t="n">
        <v>0</v>
      </c>
      <c r="J31" s="7" t="n">
        <v>22.5</v>
      </c>
      <c r="K31" s="7" t="n">
        <v>2.72</v>
      </c>
    </row>
    <row r="32">
      <c r="A32" s="6" t="inlineStr">
        <is>
          <t>PARSHOTAM PRADIPKUMAR EOLL</t>
        </is>
      </c>
      <c r="B32" s="6" t="inlineStr">
        <is>
          <t>A-EL PKNG HIGH_RISK</t>
        </is>
      </c>
      <c r="C32" s="7" t="n">
        <v>1426</v>
      </c>
      <c r="D32" s="7" t="n">
        <v>15.25</v>
      </c>
      <c r="E32" s="7" t="n">
        <v>0</v>
      </c>
      <c r="F32" s="7" t="n">
        <v>0</v>
      </c>
      <c r="G32" s="7" t="n">
        <v>0</v>
      </c>
      <c r="H32" s="7" t="n">
        <v>15.25</v>
      </c>
      <c r="I32" s="7" t="n">
        <v>0</v>
      </c>
      <c r="J32" s="7" t="n">
        <v>15.25</v>
      </c>
      <c r="K32" s="7" t="n">
        <v>1.84</v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7" t="n">
        <v>27.75</v>
      </c>
      <c r="E33" s="7" t="n">
        <v>0</v>
      </c>
      <c r="F33" s="7" t="n">
        <v>0</v>
      </c>
      <c r="G33" s="7" t="n">
        <v>0</v>
      </c>
      <c r="H33" s="7" t="n">
        <v>27.75</v>
      </c>
      <c r="I33" s="7" t="n">
        <v>0</v>
      </c>
      <c r="J33" s="7" t="n">
        <v>27.75</v>
      </c>
      <c r="K33" s="7" t="n">
        <v>3.35</v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7" t="n">
        <v>14.75</v>
      </c>
      <c r="E39" s="7" t="n">
        <v>0</v>
      </c>
      <c r="F39" s="7" t="n">
        <v>0</v>
      </c>
      <c r="G39" s="7" t="n">
        <v>0</v>
      </c>
      <c r="H39" s="7" t="n">
        <v>14.75</v>
      </c>
      <c r="I39" s="7" t="n">
        <v>0</v>
      </c>
      <c r="J39" s="7" t="n">
        <v>14.75</v>
      </c>
      <c r="K39" s="7" t="n">
        <v>1.78</v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7" t="n">
        <v>33.25</v>
      </c>
      <c r="E40" s="7" t="n">
        <v>0</v>
      </c>
      <c r="F40" s="7" t="n">
        <v>0</v>
      </c>
      <c r="G40" s="7" t="n">
        <v>0</v>
      </c>
      <c r="H40" s="7" t="n">
        <v>33.25</v>
      </c>
      <c r="I40" s="7" t="n">
        <v>0</v>
      </c>
      <c r="J40" s="7" t="n">
        <v>33.25</v>
      </c>
      <c r="K40" s="7" t="n">
        <v>4.01</v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7" t="n">
        <v>12.5</v>
      </c>
      <c r="E41" s="7" t="n">
        <v>0</v>
      </c>
      <c r="F41" s="7" t="n">
        <v>0</v>
      </c>
      <c r="G41" s="7" t="n">
        <v>0</v>
      </c>
      <c r="H41" s="7" t="n">
        <v>12.5</v>
      </c>
      <c r="I41" s="7" t="n">
        <v>0</v>
      </c>
      <c r="J41" s="7" t="n">
        <v>12.5</v>
      </c>
      <c r="K41" s="7" t="n">
        <v>1.51</v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7" t="n">
        <v>19.25</v>
      </c>
      <c r="E42" s="7" t="n">
        <v>0</v>
      </c>
      <c r="F42" s="7" t="n">
        <v>0</v>
      </c>
      <c r="G42" s="7" t="n">
        <v>0</v>
      </c>
      <c r="H42" s="7" t="n">
        <v>19.25</v>
      </c>
      <c r="I42" s="7" t="n">
        <v>0</v>
      </c>
      <c r="J42" s="7" t="n">
        <v>19.25</v>
      </c>
      <c r="K42" s="7" t="n">
        <v>2.32</v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7" t="n">
        <v>32.5</v>
      </c>
      <c r="E44" s="7" t="n">
        <v>0</v>
      </c>
      <c r="F44" s="7" t="n">
        <v>0</v>
      </c>
      <c r="G44" s="7" t="n">
        <v>0</v>
      </c>
      <c r="H44" s="7" t="n">
        <v>32.5</v>
      </c>
      <c r="I44" s="7" t="n">
        <v>0</v>
      </c>
      <c r="J44" s="7" t="n">
        <v>32.5</v>
      </c>
      <c r="K44" s="7" t="n">
        <v>3.92</v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7" t="n">
        <v>30</v>
      </c>
      <c r="E45" s="7" t="n">
        <v>0</v>
      </c>
      <c r="F45" s="7" t="n">
        <v>0</v>
      </c>
      <c r="G45" s="7" t="n">
        <v>0</v>
      </c>
      <c r="H45" s="7" t="n">
        <v>30</v>
      </c>
      <c r="I45" s="7" t="n">
        <v>0</v>
      </c>
      <c r="J45" s="7" t="n">
        <v>30</v>
      </c>
      <c r="K45" s="7" t="n">
        <v>3.62</v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7" t="n">
        <v>15.25</v>
      </c>
      <c r="E46" s="7" t="n">
        <v>0</v>
      </c>
      <c r="F46" s="7" t="n">
        <v>0</v>
      </c>
      <c r="G46" s="7" t="n">
        <v>0</v>
      </c>
      <c r="H46" s="7" t="n">
        <v>15.25</v>
      </c>
      <c r="I46" s="7" t="n">
        <v>0</v>
      </c>
      <c r="J46" s="7" t="n">
        <v>15.25</v>
      </c>
      <c r="K46" s="7" t="n">
        <v>1.84</v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7" t="n">
        <v>7.5</v>
      </c>
      <c r="E47" s="7" t="n">
        <v>0</v>
      </c>
      <c r="F47" s="7" t="n">
        <v>0</v>
      </c>
      <c r="G47" s="7" t="n">
        <v>0</v>
      </c>
      <c r="H47" s="7" t="n">
        <v>7.5</v>
      </c>
      <c r="I47" s="7" t="n">
        <v>0</v>
      </c>
      <c r="J47" s="7" t="n">
        <v>7.5</v>
      </c>
      <c r="K47" s="7" t="n">
        <v>0.91</v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7" t="n">
        <v>29.75</v>
      </c>
      <c r="E48" s="7" t="n">
        <v>0</v>
      </c>
      <c r="F48" s="7" t="n">
        <v>0</v>
      </c>
      <c r="G48" s="7" t="n">
        <v>0</v>
      </c>
      <c r="H48" s="7" t="n">
        <v>29.75</v>
      </c>
      <c r="I48" s="7" t="n">
        <v>0</v>
      </c>
      <c r="J48" s="7" t="n">
        <v>29.75</v>
      </c>
      <c r="K48" s="7" t="n">
        <v>3.59</v>
      </c>
    </row>
    <row r="49">
      <c r="A49" s="6" t="inlineStr">
        <is>
          <t>ANGELO VAZ EOLL</t>
        </is>
      </c>
      <c r="B49" s="6" t="inlineStr">
        <is>
          <t>A-EL PKNG SLEEVING</t>
        </is>
      </c>
      <c r="C49" s="7" t="n">
        <v>1524</v>
      </c>
      <c r="D49" s="7" t="n">
        <v>7.5</v>
      </c>
      <c r="E49" s="7" t="n">
        <v>0</v>
      </c>
      <c r="F49" s="7" t="n">
        <v>0</v>
      </c>
      <c r="G49" s="7" t="n">
        <v>0</v>
      </c>
      <c r="H49" s="7" t="n">
        <v>7.5</v>
      </c>
      <c r="I49" s="7" t="n">
        <v>0</v>
      </c>
      <c r="J49" s="7" t="n">
        <v>7.5</v>
      </c>
      <c r="K49" s="7" t="n">
        <v>0.91</v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7" t="n">
        <v>14.75</v>
      </c>
      <c r="E52" s="7" t="n">
        <v>0</v>
      </c>
      <c r="F52" s="7" t="n">
        <v>0</v>
      </c>
      <c r="G52" s="7" t="n">
        <v>0</v>
      </c>
      <c r="H52" s="7" t="n">
        <v>14.75</v>
      </c>
      <c r="I52" s="7" t="n">
        <v>0</v>
      </c>
      <c r="J52" s="7" t="n">
        <v>14.75</v>
      </c>
      <c r="K52" s="7" t="n">
        <v>1.78</v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7" t="n">
        <v>32.5</v>
      </c>
      <c r="E53" s="7" t="n">
        <v>0</v>
      </c>
      <c r="F53" s="7" t="n">
        <v>0</v>
      </c>
      <c r="G53" s="7" t="n">
        <v>0</v>
      </c>
      <c r="H53" s="7" t="n">
        <v>32.5</v>
      </c>
      <c r="I53" s="7" t="n">
        <v>0</v>
      </c>
      <c r="J53" s="7" t="n">
        <v>32.5</v>
      </c>
      <c r="K53" s="7" t="n">
        <v>3.92</v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7" t="n">
        <v>7.25</v>
      </c>
      <c r="E54" s="7" t="n">
        <v>0</v>
      </c>
      <c r="F54" s="7" t="n">
        <v>0</v>
      </c>
      <c r="G54" s="7" t="n">
        <v>0</v>
      </c>
      <c r="H54" s="7" t="n">
        <v>7.25</v>
      </c>
      <c r="I54" s="7" t="n">
        <v>0</v>
      </c>
      <c r="J54" s="7" t="n">
        <v>7.25</v>
      </c>
      <c r="K54" s="7" t="n">
        <v>0.88</v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7" t="n">
        <v>14.75</v>
      </c>
      <c r="E55" s="7" t="n">
        <v>0</v>
      </c>
      <c r="F55" s="7" t="n">
        <v>0</v>
      </c>
      <c r="G55" s="7" t="n">
        <v>0</v>
      </c>
      <c r="H55" s="7" t="n">
        <v>14.75</v>
      </c>
      <c r="I55" s="7" t="n">
        <v>0</v>
      </c>
      <c r="J55" s="7" t="n">
        <v>14.75</v>
      </c>
      <c r="K55" s="7" t="n">
        <v>1.78</v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7" t="n">
        <v>7.25</v>
      </c>
      <c r="E57" s="7" t="n">
        <v>0</v>
      </c>
      <c r="F57" s="7" t="n">
        <v>0</v>
      </c>
      <c r="G57" s="7" t="n">
        <v>0</v>
      </c>
      <c r="H57" s="7" t="n">
        <v>7.25</v>
      </c>
      <c r="I57" s="7" t="n">
        <v>0</v>
      </c>
      <c r="J57" s="7" t="n">
        <v>7.25</v>
      </c>
      <c r="K57" s="7" t="n">
        <v>0.88</v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7" t="n">
        <v>7</v>
      </c>
      <c r="E62" s="7" t="n">
        <v>0</v>
      </c>
      <c r="F62" s="7" t="n">
        <v>0</v>
      </c>
      <c r="G62" s="7" t="n">
        <v>0</v>
      </c>
      <c r="H62" s="7" t="n">
        <v>7</v>
      </c>
      <c r="I62" s="7" t="n">
        <v>0</v>
      </c>
      <c r="J62" s="7" t="n">
        <v>7</v>
      </c>
      <c r="K62" s="7" t="n">
        <v>0.84</v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7" t="n">
        <v>23.75</v>
      </c>
      <c r="E63" s="7" t="n">
        <v>0</v>
      </c>
      <c r="F63" s="7" t="n">
        <v>0</v>
      </c>
      <c r="G63" s="7" t="n">
        <v>0</v>
      </c>
      <c r="H63" s="7" t="n">
        <v>23.75</v>
      </c>
      <c r="I63" s="7" t="n">
        <v>0</v>
      </c>
      <c r="J63" s="7" t="n">
        <v>23.75</v>
      </c>
      <c r="K63" s="7" t="n">
        <v>2.87</v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7" t="n">
        <v>25.25</v>
      </c>
      <c r="E64" s="7" t="n">
        <v>0</v>
      </c>
      <c r="F64" s="7" t="n">
        <v>0</v>
      </c>
      <c r="G64" s="7" t="n">
        <v>0</v>
      </c>
      <c r="H64" s="7" t="n">
        <v>25.25</v>
      </c>
      <c r="I64" s="7" t="n">
        <v>0</v>
      </c>
      <c r="J64" s="7" t="n">
        <v>25.25</v>
      </c>
      <c r="K64" s="7" t="n">
        <v>3.05</v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7" t="n">
        <v>20</v>
      </c>
      <c r="E65" s="7" t="n">
        <v>0</v>
      </c>
      <c r="F65" s="7" t="n">
        <v>0</v>
      </c>
      <c r="G65" s="7" t="n">
        <v>0</v>
      </c>
      <c r="H65" s="7" t="n">
        <v>20</v>
      </c>
      <c r="I65" s="7" t="n">
        <v>0</v>
      </c>
      <c r="J65" s="7" t="n">
        <v>20</v>
      </c>
      <c r="K65" s="7" t="n">
        <v>2.41</v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7" t="n">
        <v>23.75</v>
      </c>
      <c r="E68" s="7" t="n">
        <v>0</v>
      </c>
      <c r="F68" s="7" t="n">
        <v>0</v>
      </c>
      <c r="G68" s="7" t="n">
        <v>0</v>
      </c>
      <c r="H68" s="7" t="n">
        <v>23.75</v>
      </c>
      <c r="I68" s="7" t="n">
        <v>0</v>
      </c>
      <c r="J68" s="7" t="n">
        <v>23.75</v>
      </c>
      <c r="K68" s="7" t="n">
        <v>2.87</v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7" t="n">
        <v>23.75</v>
      </c>
      <c r="E69" s="7" t="n">
        <v>0</v>
      </c>
      <c r="F69" s="7" t="n">
        <v>0</v>
      </c>
      <c r="G69" s="7" t="n">
        <v>0</v>
      </c>
      <c r="H69" s="7" t="n">
        <v>23.75</v>
      </c>
      <c r="I69" s="7" t="n">
        <v>0</v>
      </c>
      <c r="J69" s="7" t="n">
        <v>23.75</v>
      </c>
      <c r="K69" s="7" t="n">
        <v>2.87</v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7" t="n">
        <v>23.75</v>
      </c>
      <c r="E70" s="7" t="n">
        <v>0</v>
      </c>
      <c r="F70" s="7" t="n">
        <v>0</v>
      </c>
      <c r="G70" s="7" t="n">
        <v>0</v>
      </c>
      <c r="H70" s="7" t="n">
        <v>23.75</v>
      </c>
      <c r="I70" s="7" t="n">
        <v>0</v>
      </c>
      <c r="J70" s="7" t="n">
        <v>23.75</v>
      </c>
      <c r="K70" s="7" t="n">
        <v>2.87</v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7" t="n">
        <v>26.75</v>
      </c>
      <c r="E71" s="7" t="n">
        <v>0</v>
      </c>
      <c r="F71" s="7" t="n">
        <v>0</v>
      </c>
      <c r="G71" s="7" t="n">
        <v>0</v>
      </c>
      <c r="H71" s="7" t="n">
        <v>26.75</v>
      </c>
      <c r="I71" s="7" t="n">
        <v>0</v>
      </c>
      <c r="J71" s="7" t="n">
        <v>26.75</v>
      </c>
      <c r="K71" s="7" t="n">
        <v>3.23</v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7" t="n">
        <v>25.25</v>
      </c>
      <c r="E74" s="7" t="n">
        <v>0</v>
      </c>
      <c r="F74" s="7" t="n">
        <v>0</v>
      </c>
      <c r="G74" s="7" t="n">
        <v>0</v>
      </c>
      <c r="H74" s="7" t="n">
        <v>25.25</v>
      </c>
      <c r="I74" s="7" t="n">
        <v>0</v>
      </c>
      <c r="J74" s="7" t="n">
        <v>25.25</v>
      </c>
      <c r="K74" s="7" t="n">
        <v>3.05</v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7" t="n">
        <v>25.5</v>
      </c>
      <c r="E76" s="7" t="n">
        <v>0</v>
      </c>
      <c r="F76" s="7" t="n">
        <v>0</v>
      </c>
      <c r="G76" s="7" t="n">
        <v>0</v>
      </c>
      <c r="H76" s="7" t="n">
        <v>25.5</v>
      </c>
      <c r="I76" s="7" t="n">
        <v>0</v>
      </c>
      <c r="J76" s="7" t="n">
        <v>25.5</v>
      </c>
      <c r="K76" s="7" t="n">
        <v>3.08</v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7" t="n">
        <v>25.5</v>
      </c>
      <c r="E77" s="7" t="n">
        <v>0</v>
      </c>
      <c r="F77" s="7" t="n">
        <v>0</v>
      </c>
      <c r="G77" s="7" t="n">
        <v>0</v>
      </c>
      <c r="H77" s="7" t="n">
        <v>25.5</v>
      </c>
      <c r="I77" s="7" t="n">
        <v>0</v>
      </c>
      <c r="J77" s="7" t="n">
        <v>25.5</v>
      </c>
      <c r="K77" s="7" t="n">
        <v>3.08</v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7" t="n">
        <v>27.5</v>
      </c>
      <c r="E78" s="7" t="n">
        <v>0</v>
      </c>
      <c r="F78" s="7" t="n">
        <v>0</v>
      </c>
      <c r="G78" s="7" t="n">
        <v>0</v>
      </c>
      <c r="H78" s="7" t="n">
        <v>27.5</v>
      </c>
      <c r="I78" s="7" t="n">
        <v>0</v>
      </c>
      <c r="J78" s="7" t="n">
        <v>27.5</v>
      </c>
      <c r="K78" s="7" t="n">
        <v>3.32</v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7" t="n">
        <v>7</v>
      </c>
      <c r="E79" s="7" t="n">
        <v>0</v>
      </c>
      <c r="F79" s="7" t="n">
        <v>0</v>
      </c>
      <c r="G79" s="7" t="n">
        <v>0</v>
      </c>
      <c r="H79" s="7" t="n">
        <v>7</v>
      </c>
      <c r="I79" s="7" t="n">
        <v>0</v>
      </c>
      <c r="J79" s="7" t="n">
        <v>7</v>
      </c>
      <c r="K79" s="7" t="n">
        <v>0.84</v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7" t="n">
        <v>23.75</v>
      </c>
      <c r="E80" s="7" t="n">
        <v>0</v>
      </c>
      <c r="F80" s="7" t="n">
        <v>0</v>
      </c>
      <c r="G80" s="7" t="n">
        <v>0</v>
      </c>
      <c r="H80" s="7" t="n">
        <v>23.75</v>
      </c>
      <c r="I80" s="7" t="n">
        <v>0</v>
      </c>
      <c r="J80" s="7" t="n">
        <v>23.75</v>
      </c>
      <c r="K80" s="7" t="n">
        <v>2.87</v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7" t="n">
        <v>23.75</v>
      </c>
      <c r="E83" s="7" t="n">
        <v>0</v>
      </c>
      <c r="F83" s="7" t="n">
        <v>0</v>
      </c>
      <c r="G83" s="7" t="n">
        <v>0</v>
      </c>
      <c r="H83" s="7" t="n">
        <v>23.75</v>
      </c>
      <c r="I83" s="7" t="n">
        <v>0</v>
      </c>
      <c r="J83" s="7" t="n">
        <v>23.75</v>
      </c>
      <c r="K83" s="7" t="n">
        <v>2.87</v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7" t="n">
        <v>27.25</v>
      </c>
      <c r="E84" s="7" t="n">
        <v>0</v>
      </c>
      <c r="F84" s="7" t="n">
        <v>0</v>
      </c>
      <c r="G84" s="7" t="n">
        <v>0</v>
      </c>
      <c r="H84" s="7" t="n">
        <v>27.25</v>
      </c>
      <c r="I84" s="7" t="n">
        <v>0</v>
      </c>
      <c r="J84" s="7" t="n">
        <v>27.25</v>
      </c>
      <c r="K84" s="7" t="n">
        <v>3.29</v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7" t="n">
        <v>23.75</v>
      </c>
      <c r="E85" s="7" t="n">
        <v>0</v>
      </c>
      <c r="F85" s="7" t="n">
        <v>0</v>
      </c>
      <c r="G85" s="7" t="n">
        <v>0</v>
      </c>
      <c r="H85" s="7" t="n">
        <v>23.75</v>
      </c>
      <c r="I85" s="7" t="n">
        <v>0</v>
      </c>
      <c r="J85" s="7" t="n">
        <v>23.75</v>
      </c>
      <c r="K85" s="7" t="n">
        <v>2.87</v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7" t="n">
        <v>26.5</v>
      </c>
      <c r="E87" s="7" t="n">
        <v>0</v>
      </c>
      <c r="F87" s="7" t="n">
        <v>0</v>
      </c>
      <c r="G87" s="7" t="n">
        <v>0</v>
      </c>
      <c r="H87" s="7" t="n">
        <v>26.5</v>
      </c>
      <c r="I87" s="7" t="n">
        <v>0</v>
      </c>
      <c r="J87" s="7" t="n">
        <v>26.5</v>
      </c>
      <c r="K87" s="7" t="n">
        <v>3.2</v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7" t="n">
        <v>28</v>
      </c>
      <c r="E88" s="7" t="n">
        <v>0</v>
      </c>
      <c r="F88" s="7" t="n">
        <v>0</v>
      </c>
      <c r="G88" s="7" t="n">
        <v>0</v>
      </c>
      <c r="H88" s="7" t="n">
        <v>28</v>
      </c>
      <c r="I88" s="7" t="n">
        <v>0</v>
      </c>
      <c r="J88" s="7" t="n">
        <v>28</v>
      </c>
      <c r="K88" s="7" t="n">
        <v>3.38</v>
      </c>
    </row>
    <row r="89">
      <c r="A89" s="6" t="inlineStr">
        <is>
          <t>PARSHOTAM PRADIPKUMAR EOLL</t>
        </is>
      </c>
      <c r="B89" s="6" t="inlineStr">
        <is>
          <t>A-EL PROD FRYING</t>
        </is>
      </c>
      <c r="C89" s="7" t="n">
        <v>1596</v>
      </c>
      <c r="D89" s="7" t="n">
        <v>30</v>
      </c>
      <c r="E89" s="7" t="n">
        <v>0</v>
      </c>
      <c r="F89" s="7" t="n">
        <v>0</v>
      </c>
      <c r="G89" s="7" t="n">
        <v>0</v>
      </c>
      <c r="H89" s="7" t="n">
        <v>30</v>
      </c>
      <c r="I89" s="7" t="n">
        <v>0</v>
      </c>
      <c r="J89" s="7" t="n">
        <v>30</v>
      </c>
      <c r="K89" s="7" t="n">
        <v>3.62</v>
      </c>
    </row>
    <row r="90">
      <c r="A90" s="6" t="inlineStr">
        <is>
          <t>PRADEEP RAMESH EOLL</t>
        </is>
      </c>
      <c r="B90" s="6" t="inlineStr">
        <is>
          <t>A-EL PROD FRYING</t>
        </is>
      </c>
      <c r="C90" s="7" t="n">
        <v>1265</v>
      </c>
      <c r="D90" s="7" t="n">
        <v>34.25</v>
      </c>
      <c r="E90" s="7" t="n">
        <v>0</v>
      </c>
      <c r="F90" s="7" t="n">
        <v>0</v>
      </c>
      <c r="G90" s="7" t="n">
        <v>0</v>
      </c>
      <c r="H90" s="7" t="n">
        <v>34.25</v>
      </c>
      <c r="I90" s="7" t="n">
        <v>0</v>
      </c>
      <c r="J90" s="7" t="n">
        <v>34.25</v>
      </c>
      <c r="K90" s="7" t="n">
        <v>4.13</v>
      </c>
    </row>
    <row r="91">
      <c r="A91" s="6" t="inlineStr">
        <is>
          <t>GAURAV UKARDA BAMANIA EOLL</t>
        </is>
      </c>
      <c r="B91" s="6" t="inlineStr">
        <is>
          <t>A-EL PROD FRYING</t>
        </is>
      </c>
      <c r="C91" s="7" t="n">
        <v>1548</v>
      </c>
      <c r="D91" s="7" t="n">
        <v>32.5</v>
      </c>
      <c r="E91" s="7" t="n">
        <v>0</v>
      </c>
      <c r="F91" s="7" t="n">
        <v>0</v>
      </c>
      <c r="G91" s="7" t="n">
        <v>0</v>
      </c>
      <c r="H91" s="7" t="n">
        <v>32.5</v>
      </c>
      <c r="I91" s="7" t="n">
        <v>0</v>
      </c>
      <c r="J91" s="7" t="n">
        <v>32.5</v>
      </c>
      <c r="K91" s="7" t="n">
        <v>3.92</v>
      </c>
    </row>
    <row r="92">
      <c r="A92" s="6" t="inlineStr">
        <is>
          <t>CONCEISAO ALMEIDA EOLL</t>
        </is>
      </c>
      <c r="B92" s="6" t="inlineStr">
        <is>
          <t>A-EL PROD PREPARATION</t>
        </is>
      </c>
      <c r="C92" s="7" t="n">
        <v>1643</v>
      </c>
      <c r="D92" s="7" t="n">
        <v>39.5</v>
      </c>
      <c r="E92" s="7" t="n">
        <v>0</v>
      </c>
      <c r="F92" s="7" t="n">
        <v>0</v>
      </c>
      <c r="G92" s="7" t="n">
        <v>0</v>
      </c>
      <c r="H92" s="7" t="n">
        <v>39.5</v>
      </c>
      <c r="I92" s="7" t="n">
        <v>0</v>
      </c>
      <c r="J92" s="7" t="n">
        <v>39.5</v>
      </c>
      <c r="K92" s="7" t="n">
        <v>4.77</v>
      </c>
    </row>
    <row r="93">
      <c r="A93" s="6" t="inlineStr">
        <is>
          <t>KALPESHKUMAR BABU EOLL</t>
        </is>
      </c>
      <c r="B93" s="6" t="inlineStr">
        <is>
          <t>A-EL PROD PREPARATION</t>
        </is>
      </c>
      <c r="C93" s="7" t="n">
        <v>1622</v>
      </c>
      <c r="D93" s="7" t="n">
        <v>26.75</v>
      </c>
      <c r="E93" s="7" t="n">
        <v>0</v>
      </c>
      <c r="F93" s="7" t="n">
        <v>0</v>
      </c>
      <c r="G93" s="7" t="n">
        <v>0</v>
      </c>
      <c r="H93" s="7" t="n">
        <v>26.75</v>
      </c>
      <c r="I93" s="7" t="n">
        <v>0</v>
      </c>
      <c r="J93" s="7" t="n">
        <v>26.75</v>
      </c>
      <c r="K93" s="7" t="n">
        <v>3.23</v>
      </c>
    </row>
    <row r="94">
      <c r="A94" s="6" t="inlineStr">
        <is>
          <t>VANITA CARSANE EOLL</t>
        </is>
      </c>
      <c r="B94" s="6" t="inlineStr">
        <is>
          <t>A-EL PROD PREPARATION</t>
        </is>
      </c>
      <c r="C94" s="7" t="n">
        <v>1607</v>
      </c>
      <c r="D94" s="7" t="n">
        <v>23.75</v>
      </c>
      <c r="E94" s="7" t="n">
        <v>0</v>
      </c>
      <c r="F94" s="7" t="n">
        <v>0</v>
      </c>
      <c r="G94" s="7" t="n">
        <v>0</v>
      </c>
      <c r="H94" s="7" t="n">
        <v>23.75</v>
      </c>
      <c r="I94" s="7" t="n">
        <v>0</v>
      </c>
      <c r="J94" s="7" t="n">
        <v>23.75</v>
      </c>
      <c r="K94" s="7" t="n">
        <v>2.87</v>
      </c>
    </row>
    <row r="95">
      <c r="A95" s="6" t="inlineStr">
        <is>
          <t>FAUSTINO DA CUNHA EOLL</t>
        </is>
      </c>
      <c r="B95" s="6" t="inlineStr">
        <is>
          <t>A-EL PROD PREPARATION</t>
        </is>
      </c>
      <c r="C95" s="7" t="n">
        <v>1616</v>
      </c>
      <c r="D95" s="7" t="n">
        <v>38.75</v>
      </c>
      <c r="E95" s="7" t="n">
        <v>0</v>
      </c>
      <c r="F95" s="7" t="n">
        <v>0</v>
      </c>
      <c r="G95" s="7" t="n">
        <v>0</v>
      </c>
      <c r="H95" s="7" t="n">
        <v>38.75</v>
      </c>
      <c r="I95" s="7" t="n">
        <v>0</v>
      </c>
      <c r="J95" s="7" t="n">
        <v>38.75</v>
      </c>
      <c r="K95" s="7" t="n">
        <v>4.68</v>
      </c>
    </row>
    <row r="96">
      <c r="A96" s="6" t="inlineStr">
        <is>
          <t>SHAKSHI DATTA EOLL</t>
        </is>
      </c>
      <c r="B96" s="6" t="inlineStr">
        <is>
          <t>A-EL PROD PREPARATION</t>
        </is>
      </c>
      <c r="C96" s="7" t="n">
        <v>1655</v>
      </c>
      <c r="D96" s="7" t="n">
        <v>24.25</v>
      </c>
      <c r="E96" s="7" t="n">
        <v>0</v>
      </c>
      <c r="F96" s="7" t="n">
        <v>0</v>
      </c>
      <c r="G96" s="7" t="n">
        <v>0</v>
      </c>
      <c r="H96" s="7" t="n">
        <v>24.25</v>
      </c>
      <c r="I96" s="7" t="n">
        <v>0</v>
      </c>
      <c r="J96" s="7" t="n">
        <v>24.25</v>
      </c>
      <c r="K96" s="7" t="n">
        <v>2.93</v>
      </c>
    </row>
    <row r="97">
      <c r="A97" s="6" t="inlineStr">
        <is>
          <t>ABHINANDAN GIRI EOLL</t>
        </is>
      </c>
      <c r="B97" s="6" t="inlineStr">
        <is>
          <t>A-EL PROD PREPARATION</t>
        </is>
      </c>
      <c r="C97" s="7" t="n">
        <v>1621</v>
      </c>
      <c r="D97" s="7" t="n">
        <v>40</v>
      </c>
      <c r="E97" s="7" t="n">
        <v>0</v>
      </c>
      <c r="F97" s="7" t="n">
        <v>0</v>
      </c>
      <c r="G97" s="7" t="n">
        <v>0</v>
      </c>
      <c r="H97" s="7" t="n">
        <v>40</v>
      </c>
      <c r="I97" s="7" t="n">
        <v>0</v>
      </c>
      <c r="J97" s="7" t="n">
        <v>40</v>
      </c>
      <c r="K97" s="7" t="n">
        <v>4.83</v>
      </c>
    </row>
    <row r="98">
      <c r="A98" s="6" t="inlineStr">
        <is>
          <t>DAMIAO LOBO EOLL</t>
        </is>
      </c>
      <c r="B98" s="6" t="inlineStr">
        <is>
          <t>A-EL PROD PREPARATION</t>
        </is>
      </c>
      <c r="C98" s="7" t="n">
        <v>1553</v>
      </c>
      <c r="D98" s="7" t="n">
        <v>27</v>
      </c>
      <c r="E98" s="7" t="n">
        <v>0</v>
      </c>
      <c r="F98" s="7" t="n">
        <v>0</v>
      </c>
      <c r="G98" s="7" t="n">
        <v>0</v>
      </c>
      <c r="H98" s="7" t="n">
        <v>27</v>
      </c>
      <c r="I98" s="7" t="n">
        <v>0</v>
      </c>
      <c r="J98" s="7" t="n">
        <v>27</v>
      </c>
      <c r="K98" s="7" t="n">
        <v>3.26</v>
      </c>
    </row>
    <row r="99">
      <c r="A99" s="6" t="inlineStr">
        <is>
          <t>DARPAN PREMJI EOLL</t>
        </is>
      </c>
      <c r="B99" s="6" t="inlineStr">
        <is>
          <t>A-EL PROD PREPARATION</t>
        </is>
      </c>
      <c r="C99" s="7" t="n">
        <v>1631</v>
      </c>
      <c r="D99" s="7" t="n">
        <v>39.5</v>
      </c>
      <c r="E99" s="7" t="n">
        <v>0</v>
      </c>
      <c r="F99" s="7" t="n">
        <v>0</v>
      </c>
      <c r="G99" s="7" t="n">
        <v>0</v>
      </c>
      <c r="H99" s="7" t="n">
        <v>39.5</v>
      </c>
      <c r="I99" s="7" t="n">
        <v>0</v>
      </c>
      <c r="J99" s="7" t="n">
        <v>39.5</v>
      </c>
      <c r="K99" s="7" t="n">
        <v>4.77</v>
      </c>
    </row>
    <row r="100">
      <c r="A100" s="6" t="inlineStr">
        <is>
          <t>CINETE JOSELINE BORGES EOLL</t>
        </is>
      </c>
      <c r="B100" s="6" t="inlineStr">
        <is>
          <t>A-EL TECHNICAL</t>
        </is>
      </c>
      <c r="C100" s="7" t="n">
        <v>1666</v>
      </c>
      <c r="D100" s="7" t="n">
        <v>23.5</v>
      </c>
      <c r="E100" s="7" t="n">
        <v>0</v>
      </c>
      <c r="F100" s="7" t="n">
        <v>0</v>
      </c>
      <c r="G100" s="7" t="n">
        <v>0</v>
      </c>
      <c r="H100" s="7" t="n">
        <v>23.5</v>
      </c>
      <c r="I100" s="7" t="n">
        <v>0</v>
      </c>
      <c r="J100" s="7" t="n">
        <v>23.5</v>
      </c>
      <c r="K100" s="7" t="n">
        <v>2.84</v>
      </c>
    </row>
    <row r="101">
      <c r="A101" s="6" t="inlineStr">
        <is>
          <t>KHUSHBUBEN RAMESHBHAI VEKARIA EOLL</t>
        </is>
      </c>
      <c r="B101" s="6" t="inlineStr">
        <is>
          <t>A-EL TECHNICAL</t>
        </is>
      </c>
      <c r="C101" s="7" t="n">
        <v>1636</v>
      </c>
      <c r="D101" s="7" t="n">
        <v>40</v>
      </c>
      <c r="E101" s="7" t="n">
        <v>0</v>
      </c>
      <c r="F101" s="7" t="n">
        <v>0</v>
      </c>
      <c r="G101" s="7" t="n">
        <v>0</v>
      </c>
      <c r="H101" s="7" t="n">
        <v>40</v>
      </c>
      <c r="I101" s="7" t="n">
        <v>0</v>
      </c>
      <c r="J101" s="7" t="n">
        <v>40</v>
      </c>
      <c r="K101" s="7" t="n">
        <v>4.83</v>
      </c>
    </row>
    <row r="102">
      <c r="A102" s="6" t="inlineStr">
        <is>
          <t>AKSHAY SHASHIKANTBHAI DABGAR EOLL</t>
        </is>
      </c>
      <c r="B102" s="6" t="inlineStr">
        <is>
          <t>A-EL WRHS</t>
        </is>
      </c>
      <c r="C102" s="7" t="n">
        <v>1667</v>
      </c>
      <c r="D102" s="7" t="n">
        <v>24.75</v>
      </c>
      <c r="E102" s="7" t="n">
        <v>0</v>
      </c>
      <c r="F102" s="7" t="n">
        <v>0</v>
      </c>
      <c r="G102" s="7" t="n">
        <v>0</v>
      </c>
      <c r="H102" s="7" t="n">
        <v>24.75</v>
      </c>
      <c r="I102" s="7" t="n">
        <v>0</v>
      </c>
      <c r="J102" s="7" t="n">
        <v>24.75</v>
      </c>
      <c r="K102" s="7" t="n">
        <v>2.99</v>
      </c>
    </row>
    <row r="103">
      <c r="A103" s="6" t="inlineStr">
        <is>
          <t>PRUTHVI VAISHYA EOLL</t>
        </is>
      </c>
      <c r="B103" s="6" t="inlineStr">
        <is>
          <t>A-EL WRHS</t>
        </is>
      </c>
      <c r="C103" s="7" t="n">
        <v>1663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</row>
    <row r="104">
      <c r="A104" s="6" t="inlineStr">
        <is>
          <t>TERRY CARVALHO PRIDE MANAGEMENT</t>
        </is>
      </c>
      <c r="B104" s="6" t="inlineStr">
        <is>
          <t>A-PM PKNG HIGH_RISK</t>
        </is>
      </c>
      <c r="C104" s="7" t="n">
        <v>1034</v>
      </c>
      <c r="D104" s="7" t="n">
        <v>30.25</v>
      </c>
      <c r="E104" s="7" t="n">
        <v>0</v>
      </c>
      <c r="F104" s="7" t="n">
        <v>0</v>
      </c>
      <c r="G104" s="7" t="n">
        <v>0</v>
      </c>
      <c r="H104" s="7" t="n">
        <v>30.25</v>
      </c>
      <c r="I104" s="7" t="n">
        <v>0</v>
      </c>
      <c r="J104" s="7" t="n">
        <v>30.25</v>
      </c>
      <c r="K104" s="7" t="n">
        <v>3.65</v>
      </c>
    </row>
    <row r="105">
      <c r="A105" s="6" t="inlineStr">
        <is>
          <t>ROGER FERNANDES RESPONSE</t>
        </is>
      </c>
      <c r="B105" s="6" t="inlineStr">
        <is>
          <t>A-RS OFCE</t>
        </is>
      </c>
      <c r="C105" s="7" t="n">
        <v>1669</v>
      </c>
      <c r="D105" s="7" t="n">
        <v>15.25</v>
      </c>
      <c r="E105" s="7" t="n">
        <v>7.75</v>
      </c>
      <c r="F105" s="7" t="n">
        <v>0</v>
      </c>
      <c r="G105" s="7" t="n">
        <v>0</v>
      </c>
      <c r="H105" s="7" t="n">
        <v>23</v>
      </c>
      <c r="I105" s="7" t="n">
        <v>0</v>
      </c>
      <c r="J105" s="7" t="n">
        <v>23</v>
      </c>
      <c r="K105" s="7" t="n">
        <v>2.78</v>
      </c>
    </row>
    <row r="106">
      <c r="A106" s="6" t="inlineStr">
        <is>
          <t>VISHNUBHAI KALSARIYA RESPONSE</t>
        </is>
      </c>
      <c r="B106" s="6" t="inlineStr">
        <is>
          <t>A-RS PKNG SLEEVING</t>
        </is>
      </c>
      <c r="C106" s="7" t="n">
        <v>1652</v>
      </c>
      <c r="D106" s="7" t="n">
        <v>32.25</v>
      </c>
      <c r="E106" s="7" t="n">
        <v>0</v>
      </c>
      <c r="F106" s="7" t="n">
        <v>0</v>
      </c>
      <c r="G106" s="7" t="n">
        <v>0</v>
      </c>
      <c r="H106" s="7" t="n">
        <v>32.25</v>
      </c>
      <c r="I106" s="7" t="n">
        <v>0</v>
      </c>
      <c r="J106" s="7" t="n">
        <v>32.25</v>
      </c>
      <c r="K106" s="7" t="n">
        <v>3.89</v>
      </c>
    </row>
    <row r="107">
      <c r="A107" s="6" t="inlineStr">
        <is>
          <t>SUKHDEEP SINGH RESPONSE</t>
        </is>
      </c>
      <c r="B107" s="6" t="inlineStr">
        <is>
          <t>A-RS PROD BELT</t>
        </is>
      </c>
      <c r="C107" s="7" t="n">
        <v>1654</v>
      </c>
      <c r="D107" s="7" t="n">
        <v>23.25</v>
      </c>
      <c r="E107" s="7" t="n">
        <v>0</v>
      </c>
      <c r="F107" s="7" t="n">
        <v>0</v>
      </c>
      <c r="G107" s="7" t="n">
        <v>0</v>
      </c>
      <c r="H107" s="7" t="n">
        <v>23.25</v>
      </c>
      <c r="I107" s="7" t="n">
        <v>0</v>
      </c>
      <c r="J107" s="7" t="n">
        <v>23.25</v>
      </c>
      <c r="K107" s="7" t="n">
        <v>2.81</v>
      </c>
    </row>
    <row r="108">
      <c r="A108" s="6" t="inlineStr">
        <is>
          <t>HRUTIK SONAWANE RESPONSE</t>
        </is>
      </c>
      <c r="B108" s="6" t="inlineStr">
        <is>
          <t>A-RS PROD BELT</t>
        </is>
      </c>
      <c r="C108" s="7" t="n">
        <v>1660</v>
      </c>
      <c r="D108" s="7" t="n">
        <v>23.5</v>
      </c>
      <c r="E108" s="7" t="n">
        <v>0</v>
      </c>
      <c r="F108" s="7" t="n">
        <v>0</v>
      </c>
      <c r="G108" s="7" t="n">
        <v>0</v>
      </c>
      <c r="H108" s="7" t="n">
        <v>23.5</v>
      </c>
      <c r="I108" s="7" t="n">
        <v>0</v>
      </c>
      <c r="J108" s="7" t="n">
        <v>23.5</v>
      </c>
      <c r="K108" s="7" t="n">
        <v>2.84</v>
      </c>
    </row>
    <row r="109">
      <c r="A109" s="6" t="inlineStr">
        <is>
          <t>KANJI CARSANE</t>
        </is>
      </c>
      <c r="B109" s="6" t="inlineStr">
        <is>
          <t>CLNR</t>
        </is>
      </c>
      <c r="C109" s="7" t="n">
        <v>692</v>
      </c>
      <c r="D109" s="7" t="n">
        <v>35.75</v>
      </c>
      <c r="E109" s="7" t="n">
        <v>0</v>
      </c>
      <c r="F109" s="7" t="n">
        <v>0</v>
      </c>
      <c r="G109" s="7" t="n">
        <v>0</v>
      </c>
      <c r="H109" s="7" t="n">
        <v>35.75</v>
      </c>
      <c r="I109" s="7" t="n">
        <v>0</v>
      </c>
      <c r="J109" s="7" t="n">
        <v>35.75</v>
      </c>
      <c r="K109" s="7" t="n">
        <v>4.32</v>
      </c>
    </row>
    <row r="110">
      <c r="A110" s="6" t="inlineStr">
        <is>
          <t>DHANJI GIVA</t>
        </is>
      </c>
      <c r="B110" s="6" t="inlineStr">
        <is>
          <t>CLNR</t>
        </is>
      </c>
      <c r="C110" s="7" t="n">
        <v>718</v>
      </c>
      <c r="D110" s="7" t="n">
        <v>32.5</v>
      </c>
      <c r="E110" s="7" t="n">
        <v>0</v>
      </c>
      <c r="F110" s="7" t="n">
        <v>0</v>
      </c>
      <c r="G110" s="7" t="n">
        <v>0</v>
      </c>
      <c r="H110" s="7" t="n">
        <v>32.5</v>
      </c>
      <c r="I110" s="7" t="n">
        <v>0</v>
      </c>
      <c r="J110" s="7" t="n">
        <v>32.5</v>
      </c>
      <c r="K110" s="7" t="n">
        <v>3.92</v>
      </c>
    </row>
    <row r="111">
      <c r="A111" s="6" t="inlineStr">
        <is>
          <t>DINESH KUMAR NARANBHAI RATHOD</t>
        </is>
      </c>
      <c r="B111" s="6" t="inlineStr">
        <is>
          <t>CLNR</t>
        </is>
      </c>
      <c r="C111" s="7" t="n">
        <v>629</v>
      </c>
      <c r="D111" s="7" t="n">
        <v>31.75</v>
      </c>
      <c r="E111" s="7" t="n">
        <v>0</v>
      </c>
      <c r="F111" s="7" t="n">
        <v>0</v>
      </c>
      <c r="G111" s="7" t="n">
        <v>0</v>
      </c>
      <c r="H111" s="7" t="n">
        <v>31.75</v>
      </c>
      <c r="I111" s="7" t="n">
        <v>0</v>
      </c>
      <c r="J111" s="7" t="n">
        <v>31.75</v>
      </c>
      <c r="K111" s="7" t="n">
        <v>3.83</v>
      </c>
    </row>
    <row r="112">
      <c r="A112" s="6" t="inlineStr">
        <is>
          <t>DINESH NATU</t>
        </is>
      </c>
      <c r="B112" s="6" t="inlineStr">
        <is>
          <t>CLNR</t>
        </is>
      </c>
      <c r="C112" s="7" t="n">
        <v>750</v>
      </c>
      <c r="D112" s="7" t="n">
        <v>41.25</v>
      </c>
      <c r="E112" s="7" t="n">
        <v>5.5</v>
      </c>
      <c r="F112" s="7" t="n">
        <v>0</v>
      </c>
      <c r="G112" s="7" t="n">
        <v>0</v>
      </c>
      <c r="H112" s="7" t="n">
        <v>46.75</v>
      </c>
      <c r="I112" s="7" t="n">
        <v>0</v>
      </c>
      <c r="J112" s="7" t="n">
        <v>46.75</v>
      </c>
      <c r="K112" s="7" t="n">
        <v>5.64</v>
      </c>
    </row>
    <row r="113">
      <c r="A113" s="6" t="inlineStr">
        <is>
          <t>SAMJI NATU</t>
        </is>
      </c>
      <c r="B113" s="6" t="inlineStr">
        <is>
          <t>CLNR</t>
        </is>
      </c>
      <c r="C113" s="7" t="n">
        <v>579</v>
      </c>
      <c r="D113" s="7" t="n">
        <v>0</v>
      </c>
      <c r="E113" s="7" t="n">
        <v>8.5</v>
      </c>
      <c r="F113" s="7" t="n">
        <v>8.5</v>
      </c>
      <c r="G113" s="7" t="n">
        <v>0</v>
      </c>
      <c r="H113" s="7" t="n">
        <v>17</v>
      </c>
      <c r="I113" s="7" t="n">
        <v>16</v>
      </c>
      <c r="J113" s="7" t="n">
        <v>1</v>
      </c>
      <c r="K113" s="7" t="n">
        <v>0.12</v>
      </c>
    </row>
    <row r="114">
      <c r="A114" s="6" t="inlineStr">
        <is>
          <t>THEODORE TIRKEY</t>
        </is>
      </c>
      <c r="B114" s="6" t="inlineStr">
        <is>
          <t>CLNR</t>
        </is>
      </c>
      <c r="C114" s="7" t="n">
        <v>506</v>
      </c>
      <c r="D114" s="7" t="n">
        <v>32</v>
      </c>
      <c r="E114" s="7" t="n">
        <v>7.5</v>
      </c>
      <c r="F114" s="7" t="n">
        <v>0</v>
      </c>
      <c r="G114" s="7" t="n">
        <v>0</v>
      </c>
      <c r="H114" s="7" t="n">
        <v>39.5</v>
      </c>
      <c r="I114" s="7" t="n">
        <v>0</v>
      </c>
      <c r="J114" s="7" t="n">
        <v>39.5</v>
      </c>
      <c r="K114" s="7" t="n">
        <v>4.77</v>
      </c>
    </row>
    <row r="115">
      <c r="A115" s="6" t="inlineStr">
        <is>
          <t>UMESH VINAYCHANDRA</t>
        </is>
      </c>
      <c r="B115" s="6" t="inlineStr">
        <is>
          <t>DPCH</t>
        </is>
      </c>
      <c r="C115" s="7" t="n">
        <v>426</v>
      </c>
      <c r="D115" s="7" t="n">
        <v>41.25</v>
      </c>
      <c r="E115" s="7" t="n">
        <v>22.5</v>
      </c>
      <c r="F115" s="7" t="n">
        <v>0</v>
      </c>
      <c r="G115" s="7" t="n">
        <v>0</v>
      </c>
      <c r="H115" s="7" t="n">
        <v>63.75</v>
      </c>
      <c r="I115" s="7" t="n">
        <v>0</v>
      </c>
      <c r="J115" s="7" t="n">
        <v>63.75</v>
      </c>
      <c r="K115" s="7" t="n">
        <v>7.69</v>
      </c>
    </row>
    <row r="116">
      <c r="A116" s="6" t="inlineStr">
        <is>
          <t>SANJAY BHIMJI VAGADIYA</t>
        </is>
      </c>
      <c r="B116" s="6" t="inlineStr">
        <is>
          <t>OFCE</t>
        </is>
      </c>
      <c r="C116" s="7" t="n">
        <v>749</v>
      </c>
      <c r="D116" s="7" t="n">
        <v>20</v>
      </c>
      <c r="E116" s="7" t="n">
        <v>0</v>
      </c>
      <c r="F116" s="7" t="n">
        <v>0</v>
      </c>
      <c r="G116" s="7" t="n">
        <v>0</v>
      </c>
      <c r="H116" s="7" t="n">
        <v>20</v>
      </c>
      <c r="I116" s="7" t="n">
        <v>0</v>
      </c>
      <c r="J116" s="7" t="n">
        <v>20</v>
      </c>
      <c r="K116" s="7" t="n">
        <v>2.41</v>
      </c>
    </row>
    <row r="117">
      <c r="A117" s="6" t="inlineStr">
        <is>
          <t>BELAYNEH DIKER</t>
        </is>
      </c>
      <c r="B117" s="6" t="inlineStr">
        <is>
          <t>OFCE</t>
        </is>
      </c>
      <c r="C117" s="7" t="n">
        <v>747</v>
      </c>
      <c r="D117" s="7" t="n">
        <v>41.25</v>
      </c>
      <c r="E117" s="7" t="n">
        <v>8.25</v>
      </c>
      <c r="F117" s="7" t="n">
        <v>0</v>
      </c>
      <c r="G117" s="7" t="n">
        <v>0</v>
      </c>
      <c r="H117" s="7" t="n">
        <v>49.5</v>
      </c>
      <c r="I117" s="7" t="n">
        <v>0</v>
      </c>
      <c r="J117" s="7" t="n">
        <v>49.5</v>
      </c>
      <c r="K117" s="7" t="n">
        <v>5.97</v>
      </c>
    </row>
    <row r="118">
      <c r="A118" s="6" t="inlineStr">
        <is>
          <t>UTSAV GOHEL</t>
        </is>
      </c>
      <c r="B118" s="6" t="inlineStr">
        <is>
          <t>OFCE</t>
        </is>
      </c>
      <c r="C118" s="7" t="n">
        <v>691</v>
      </c>
      <c r="D118" s="7" t="n">
        <v>7.5</v>
      </c>
      <c r="E118" s="7" t="n">
        <v>8.25</v>
      </c>
      <c r="F118" s="7" t="n">
        <v>0</v>
      </c>
      <c r="G118" s="7" t="n">
        <v>0</v>
      </c>
      <c r="H118" s="7" t="n">
        <v>15.75</v>
      </c>
      <c r="I118" s="7" t="n">
        <v>0</v>
      </c>
      <c r="J118" s="7" t="n">
        <v>15.75</v>
      </c>
      <c r="K118" s="7" t="n">
        <v>1.9</v>
      </c>
    </row>
    <row r="119">
      <c r="A119" s="6" t="inlineStr">
        <is>
          <t>PANKAJ MALIK</t>
        </is>
      </c>
      <c r="B119" s="6" t="inlineStr">
        <is>
          <t>OFCE</t>
        </is>
      </c>
      <c r="C119" s="7" t="n">
        <v>679</v>
      </c>
      <c r="D119" s="7" t="n">
        <v>41.25</v>
      </c>
      <c r="E119" s="7" t="n">
        <v>1.25</v>
      </c>
      <c r="F119" s="7" t="n">
        <v>0</v>
      </c>
      <c r="G119" s="7" t="n">
        <v>0</v>
      </c>
      <c r="H119" s="7" t="n">
        <v>42.5</v>
      </c>
      <c r="I119" s="7" t="n">
        <v>0</v>
      </c>
      <c r="J119" s="7" t="n">
        <v>42.5</v>
      </c>
      <c r="K119" s="7" t="n">
        <v>5.13</v>
      </c>
    </row>
    <row r="120">
      <c r="A120" s="6" t="inlineStr">
        <is>
          <t>PRIYANKA PANDHARIPANDE</t>
        </is>
      </c>
      <c r="B120" s="6" t="inlineStr">
        <is>
          <t>OFCE</t>
        </is>
      </c>
      <c r="C120" s="7" t="n">
        <v>660</v>
      </c>
      <c r="D120" s="7" t="n">
        <v>41.25</v>
      </c>
      <c r="E120" s="7" t="n">
        <v>1.5</v>
      </c>
      <c r="F120" s="7" t="n">
        <v>0</v>
      </c>
      <c r="G120" s="7" t="n">
        <v>0</v>
      </c>
      <c r="H120" s="7" t="n">
        <v>42.75</v>
      </c>
      <c r="I120" s="7" t="n">
        <v>0</v>
      </c>
      <c r="J120" s="7" t="n">
        <v>42.75</v>
      </c>
      <c r="K120" s="7" t="n">
        <v>5.16</v>
      </c>
    </row>
    <row r="121">
      <c r="A121" s="6" t="inlineStr">
        <is>
          <t>APARUP PODDER</t>
        </is>
      </c>
      <c r="B121" s="6" t="inlineStr">
        <is>
          <t>OFCE</t>
        </is>
      </c>
      <c r="C121" s="7" t="n">
        <v>754</v>
      </c>
      <c r="D121" s="7" t="n">
        <v>41.25</v>
      </c>
      <c r="E121" s="7" t="n">
        <v>5.5</v>
      </c>
      <c r="F121" s="7" t="n">
        <v>0</v>
      </c>
      <c r="G121" s="7" t="n">
        <v>0</v>
      </c>
      <c r="H121" s="7" t="n">
        <v>46.75</v>
      </c>
      <c r="I121" s="7" t="n">
        <v>40</v>
      </c>
      <c r="J121" s="7" t="n">
        <v>6.75</v>
      </c>
      <c r="K121" s="7" t="n">
        <v>0.8100000000000001</v>
      </c>
    </row>
    <row r="122">
      <c r="A122" s="6" t="inlineStr">
        <is>
          <t>LOURENCO PEREIRA</t>
        </is>
      </c>
      <c r="B122" s="6" t="inlineStr">
        <is>
          <t>OFCE</t>
        </is>
      </c>
      <c r="C122" s="7" t="n">
        <v>737</v>
      </c>
      <c r="D122" s="7" t="n">
        <v>25</v>
      </c>
      <c r="E122" s="7" t="n">
        <v>0</v>
      </c>
      <c r="F122" s="7" t="n">
        <v>0</v>
      </c>
      <c r="G122" s="7" t="n">
        <v>0</v>
      </c>
      <c r="H122" s="7" t="n">
        <v>25</v>
      </c>
      <c r="I122" s="7" t="n">
        <v>0</v>
      </c>
      <c r="J122" s="7" t="n">
        <v>25</v>
      </c>
      <c r="K122" s="7" t="n">
        <v>3.02</v>
      </c>
    </row>
    <row r="123">
      <c r="A123" s="6" t="inlineStr">
        <is>
          <t>PRIYANKA RAMNIK</t>
        </is>
      </c>
      <c r="B123" s="6" t="inlineStr">
        <is>
          <t>OFCE</t>
        </is>
      </c>
      <c r="C123" s="7" t="n">
        <v>753</v>
      </c>
      <c r="D123" s="7" t="n">
        <v>41.25</v>
      </c>
      <c r="E123" s="7" t="n">
        <v>3</v>
      </c>
      <c r="F123" s="7" t="n">
        <v>0</v>
      </c>
      <c r="G123" s="7" t="n">
        <v>0</v>
      </c>
      <c r="H123" s="7" t="n">
        <v>44.25</v>
      </c>
      <c r="I123" s="7" t="n">
        <v>0</v>
      </c>
      <c r="J123" s="7" t="n">
        <v>44.25</v>
      </c>
      <c r="K123" s="7" t="n">
        <v>5.34</v>
      </c>
    </row>
    <row r="124">
      <c r="A124" s="6" t="inlineStr">
        <is>
          <t>AMIT RATHOD</t>
        </is>
      </c>
      <c r="B124" s="6" t="inlineStr">
        <is>
          <t>OFCE</t>
        </is>
      </c>
      <c r="C124" s="7" t="n">
        <v>369</v>
      </c>
      <c r="D124" s="7" t="n">
        <v>37.25</v>
      </c>
      <c r="E124" s="7" t="n">
        <v>0</v>
      </c>
      <c r="F124" s="7" t="n">
        <v>0</v>
      </c>
      <c r="G124" s="7" t="n">
        <v>0</v>
      </c>
      <c r="H124" s="7" t="n">
        <v>37.25</v>
      </c>
      <c r="I124" s="7" t="n">
        <v>0</v>
      </c>
      <c r="J124" s="7" t="n">
        <v>37.25</v>
      </c>
      <c r="K124" s="7" t="n">
        <v>4.5</v>
      </c>
    </row>
    <row r="125">
      <c r="A125" s="6" t="inlineStr">
        <is>
          <t>KRUTI RATHOD</t>
        </is>
      </c>
      <c r="B125" s="6" t="inlineStr">
        <is>
          <t>OFCE</t>
        </is>
      </c>
      <c r="C125" s="7" t="n">
        <v>727</v>
      </c>
      <c r="D125" s="7" t="n">
        <v>39.75</v>
      </c>
      <c r="E125" s="7" t="n">
        <v>0</v>
      </c>
      <c r="F125" s="7" t="n">
        <v>0</v>
      </c>
      <c r="G125" s="7" t="n">
        <v>0</v>
      </c>
      <c r="H125" s="7" t="n">
        <v>39.75</v>
      </c>
      <c r="I125" s="7" t="n">
        <v>0</v>
      </c>
      <c r="J125" s="7" t="n">
        <v>39.75</v>
      </c>
      <c r="K125" s="7" t="n">
        <v>4.8</v>
      </c>
    </row>
    <row r="126">
      <c r="A126" s="6" t="inlineStr">
        <is>
          <t>DEVANG SHAH</t>
        </is>
      </c>
      <c r="B126" s="6" t="inlineStr">
        <is>
          <t>OFCE</t>
        </is>
      </c>
      <c r="C126" s="7" t="n">
        <v>429</v>
      </c>
      <c r="D126" s="7" t="n">
        <v>37.25</v>
      </c>
      <c r="E126" s="7" t="n">
        <v>2.75</v>
      </c>
      <c r="F126" s="7" t="n">
        <v>0</v>
      </c>
      <c r="G126" s="7" t="n">
        <v>4</v>
      </c>
      <c r="H126" s="7" t="n">
        <v>44</v>
      </c>
      <c r="I126" s="7" t="n">
        <v>0</v>
      </c>
      <c r="J126" s="7" t="n">
        <v>44</v>
      </c>
      <c r="K126" s="7" t="n">
        <v>5.31</v>
      </c>
    </row>
    <row r="127">
      <c r="A127" s="6" t="inlineStr">
        <is>
          <t>TAJINDER SINGH SEHDEV</t>
        </is>
      </c>
      <c r="B127" s="6" t="inlineStr">
        <is>
          <t>OFCE</t>
        </is>
      </c>
      <c r="C127" s="7" t="n">
        <v>522</v>
      </c>
      <c r="D127" s="7" t="n">
        <v>35</v>
      </c>
      <c r="E127" s="7" t="n">
        <v>0</v>
      </c>
      <c r="F127" s="7" t="n">
        <v>0</v>
      </c>
      <c r="G127" s="7" t="n">
        <v>0</v>
      </c>
      <c r="H127" s="7" t="n">
        <v>35</v>
      </c>
      <c r="I127" s="7" t="n">
        <v>0</v>
      </c>
      <c r="J127" s="7" t="n">
        <v>35</v>
      </c>
      <c r="K127" s="7" t="n">
        <v>4.22</v>
      </c>
    </row>
    <row r="128">
      <c r="A128" s="6" t="inlineStr">
        <is>
          <t>BHARGAV VANZA</t>
        </is>
      </c>
      <c r="B128" s="6" t="inlineStr">
        <is>
          <t>OFCE</t>
        </is>
      </c>
      <c r="C128" s="7" t="n">
        <v>161</v>
      </c>
      <c r="D128" s="7" t="n">
        <v>41.25</v>
      </c>
      <c r="E128" s="7" t="n">
        <v>2.75</v>
      </c>
      <c r="F128" s="7" t="n">
        <v>0</v>
      </c>
      <c r="G128" s="7" t="n">
        <v>0</v>
      </c>
      <c r="H128" s="7" t="n">
        <v>44</v>
      </c>
      <c r="I128" s="7" t="n">
        <v>0</v>
      </c>
      <c r="J128" s="7" t="n">
        <v>44</v>
      </c>
      <c r="K128" s="7" t="n">
        <v>5.31</v>
      </c>
    </row>
    <row r="129">
      <c r="A129" s="6" t="inlineStr">
        <is>
          <t>AYUSH BHARATBHAI VASANI</t>
        </is>
      </c>
      <c r="B129" s="6" t="inlineStr">
        <is>
          <t>PKNG HIGH_RISK</t>
        </is>
      </c>
      <c r="C129" s="7" t="n">
        <v>707</v>
      </c>
      <c r="D129" s="7" t="n">
        <v>41.25</v>
      </c>
      <c r="E129" s="7" t="n">
        <v>2.5</v>
      </c>
      <c r="F129" s="7" t="n">
        <v>0</v>
      </c>
      <c r="G129" s="7" t="n">
        <v>0</v>
      </c>
      <c r="H129" s="7" t="n">
        <v>43.75</v>
      </c>
      <c r="I129" s="7" t="n">
        <v>0</v>
      </c>
      <c r="J129" s="7" t="n">
        <v>43.75</v>
      </c>
      <c r="K129" s="7" t="n">
        <v>5.28</v>
      </c>
    </row>
    <row r="130">
      <c r="A130" s="6" t="inlineStr">
        <is>
          <t>REGAN DA SILVA</t>
        </is>
      </c>
      <c r="B130" s="6" t="inlineStr">
        <is>
          <t>PKNG HIGH_RISK</t>
        </is>
      </c>
      <c r="C130" s="7" t="n">
        <v>713</v>
      </c>
      <c r="D130" s="7" t="n">
        <v>39.25</v>
      </c>
      <c r="E130" s="7" t="n">
        <v>0</v>
      </c>
      <c r="F130" s="7" t="n">
        <v>0</v>
      </c>
      <c r="G130" s="7" t="n">
        <v>0</v>
      </c>
      <c r="H130" s="7" t="n">
        <v>39.25</v>
      </c>
      <c r="I130" s="7" t="n">
        <v>0</v>
      </c>
      <c r="J130" s="7" t="n">
        <v>39.25</v>
      </c>
      <c r="K130" s="7" t="n">
        <v>4.74</v>
      </c>
    </row>
    <row r="131">
      <c r="A131" s="6" t="inlineStr">
        <is>
          <t>FALGUNI DHANGAR</t>
        </is>
      </c>
      <c r="B131" s="6" t="inlineStr">
        <is>
          <t>PKNG HIGH_RISK</t>
        </is>
      </c>
      <c r="C131" s="7" t="n">
        <v>637</v>
      </c>
      <c r="D131" s="7" t="n">
        <v>41.25</v>
      </c>
      <c r="E131" s="7" t="n">
        <v>7</v>
      </c>
      <c r="F131" s="7" t="n">
        <v>0</v>
      </c>
      <c r="G131" s="7" t="n">
        <v>0</v>
      </c>
      <c r="H131" s="7" t="n">
        <v>48.25</v>
      </c>
      <c r="I131" s="7" t="n">
        <v>0</v>
      </c>
      <c r="J131" s="7" t="n">
        <v>48.25</v>
      </c>
      <c r="K131" s="7" t="n">
        <v>5.82</v>
      </c>
    </row>
    <row r="132">
      <c r="A132" s="6" t="inlineStr">
        <is>
          <t>DIVYA DIVYA</t>
        </is>
      </c>
      <c r="B132" s="6" t="inlineStr">
        <is>
          <t>PKNG HIGH_RISK</t>
        </is>
      </c>
      <c r="C132" s="7" t="n">
        <v>734</v>
      </c>
      <c r="D132" s="7" t="n">
        <v>33</v>
      </c>
      <c r="E132" s="7" t="n">
        <v>0</v>
      </c>
      <c r="F132" s="7" t="n">
        <v>0</v>
      </c>
      <c r="G132" s="7" t="n">
        <v>0</v>
      </c>
      <c r="H132" s="7" t="n">
        <v>33</v>
      </c>
      <c r="I132" s="7" t="n">
        <v>0</v>
      </c>
      <c r="J132" s="7" t="n">
        <v>33</v>
      </c>
      <c r="K132" s="7" t="n">
        <v>3.98</v>
      </c>
    </row>
    <row r="133">
      <c r="A133" s="6" t="inlineStr">
        <is>
          <t>GOPI GUNABHAI DEVANI</t>
        </is>
      </c>
      <c r="B133" s="6" t="inlineStr">
        <is>
          <t>PKNG HIGH_RISK</t>
        </is>
      </c>
      <c r="C133" s="7" t="n">
        <v>757</v>
      </c>
      <c r="D133" s="7" t="n">
        <v>41.25</v>
      </c>
      <c r="E133" s="7" t="n">
        <v>0.5</v>
      </c>
      <c r="F133" s="7" t="n">
        <v>0</v>
      </c>
      <c r="G133" s="7" t="n">
        <v>0</v>
      </c>
      <c r="H133" s="7" t="n">
        <v>41.75</v>
      </c>
      <c r="I133" s="7" t="n">
        <v>0</v>
      </c>
      <c r="J133" s="7" t="n">
        <v>41.75</v>
      </c>
      <c r="K133" s="7" t="n">
        <v>5.04</v>
      </c>
    </row>
    <row r="134">
      <c r="A134" s="6" t="inlineStr">
        <is>
          <t>ANGELA KRANYIK</t>
        </is>
      </c>
      <c r="B134" s="6" t="inlineStr">
        <is>
          <t>PKNG HIGH_RISK</t>
        </is>
      </c>
      <c r="C134" s="7" t="n">
        <v>320</v>
      </c>
      <c r="D134" s="7" t="n">
        <v>31.75</v>
      </c>
      <c r="E134" s="7" t="n">
        <v>0</v>
      </c>
      <c r="F134" s="7" t="n">
        <v>0</v>
      </c>
      <c r="G134" s="7" t="n">
        <v>0</v>
      </c>
      <c r="H134" s="7" t="n">
        <v>31.75</v>
      </c>
      <c r="I134" s="7" t="n">
        <v>0</v>
      </c>
      <c r="J134" s="7" t="n">
        <v>31.75</v>
      </c>
      <c r="K134" s="7" t="n">
        <v>3.83</v>
      </c>
    </row>
    <row r="135">
      <c r="A135" s="6" t="inlineStr">
        <is>
          <t>ARTI MAENCAR</t>
        </is>
      </c>
      <c r="B135" s="6" t="inlineStr">
        <is>
          <t>PKNG HIGH_RISK</t>
        </is>
      </c>
      <c r="C135" s="7" t="n">
        <v>445</v>
      </c>
      <c r="D135" s="7" t="n">
        <v>41.25</v>
      </c>
      <c r="E135" s="7" t="n">
        <v>2.75</v>
      </c>
      <c r="F135" s="7" t="n">
        <v>0</v>
      </c>
      <c r="G135" s="7" t="n">
        <v>0</v>
      </c>
      <c r="H135" s="7" t="n">
        <v>44</v>
      </c>
      <c r="I135" s="7" t="n">
        <v>0</v>
      </c>
      <c r="J135" s="7" t="n">
        <v>44</v>
      </c>
      <c r="K135" s="7" t="n">
        <v>5.31</v>
      </c>
    </row>
    <row r="136">
      <c r="A136" s="6" t="inlineStr">
        <is>
          <t>SHANTHI PERUMAL MURTHI</t>
        </is>
      </c>
      <c r="B136" s="6" t="inlineStr">
        <is>
          <t>PKNG HIGH_RISK</t>
        </is>
      </c>
      <c r="C136" s="7" t="n">
        <v>751</v>
      </c>
      <c r="D136" s="7" t="n">
        <v>30.25</v>
      </c>
      <c r="E136" s="7" t="n">
        <v>0</v>
      </c>
      <c r="F136" s="7" t="n">
        <v>0</v>
      </c>
      <c r="G136" s="7" t="n">
        <v>0</v>
      </c>
      <c r="H136" s="7" t="n">
        <v>30.25</v>
      </c>
      <c r="I136" s="7" t="n">
        <v>0</v>
      </c>
      <c r="J136" s="7" t="n">
        <v>30.25</v>
      </c>
      <c r="K136" s="7" t="n">
        <v>3.65</v>
      </c>
    </row>
    <row r="137">
      <c r="A137" s="6" t="inlineStr">
        <is>
          <t>NAGESH SOMA</t>
        </is>
      </c>
      <c r="B137" s="6" t="inlineStr">
        <is>
          <t>PKNG HIGH_RISK</t>
        </is>
      </c>
      <c r="C137" s="7" t="n">
        <v>724</v>
      </c>
      <c r="D137" s="7" t="n">
        <v>39.75</v>
      </c>
      <c r="E137" s="7" t="n">
        <v>0</v>
      </c>
      <c r="F137" s="7" t="n">
        <v>0</v>
      </c>
      <c r="G137" s="7" t="n">
        <v>0</v>
      </c>
      <c r="H137" s="7" t="n">
        <v>39.75</v>
      </c>
      <c r="I137" s="7" t="n">
        <v>0</v>
      </c>
      <c r="J137" s="7" t="n">
        <v>39.75</v>
      </c>
      <c r="K137" s="7" t="n">
        <v>4.8</v>
      </c>
    </row>
    <row r="138">
      <c r="A138" s="6" t="inlineStr">
        <is>
          <t>RAVINA SUREXA NAIQUE</t>
        </is>
      </c>
      <c r="B138" s="6" t="inlineStr">
        <is>
          <t>PKNG HIGH_RISK</t>
        </is>
      </c>
      <c r="C138" s="7" t="n">
        <v>714</v>
      </c>
      <c r="D138" s="7" t="n">
        <v>29.75</v>
      </c>
      <c r="E138" s="7" t="n">
        <v>0</v>
      </c>
      <c r="F138" s="7" t="n">
        <v>0</v>
      </c>
      <c r="G138" s="7" t="n">
        <v>0</v>
      </c>
      <c r="H138" s="7" t="n">
        <v>29.75</v>
      </c>
      <c r="I138" s="7" t="n">
        <v>0</v>
      </c>
      <c r="J138" s="7" t="n">
        <v>29.75</v>
      </c>
      <c r="K138" s="7" t="n">
        <v>3.59</v>
      </c>
    </row>
    <row r="139">
      <c r="A139" s="6" t="inlineStr">
        <is>
          <t>LUCY XAVERINA LOPES</t>
        </is>
      </c>
      <c r="B139" s="6" t="inlineStr">
        <is>
          <t>PKNG HIGH_RISK</t>
        </is>
      </c>
      <c r="C139" s="7" t="n">
        <v>726</v>
      </c>
      <c r="D139" s="7" t="n">
        <v>30.25</v>
      </c>
      <c r="E139" s="7" t="n">
        <v>0</v>
      </c>
      <c r="F139" s="7" t="n">
        <v>0</v>
      </c>
      <c r="G139" s="7" t="n">
        <v>0</v>
      </c>
      <c r="H139" s="7" t="n">
        <v>30.25</v>
      </c>
      <c r="I139" s="7" t="n">
        <v>0</v>
      </c>
      <c r="J139" s="7" t="n">
        <v>30.25</v>
      </c>
      <c r="K139" s="7" t="n">
        <v>3.65</v>
      </c>
    </row>
    <row r="140">
      <c r="A140" s="6" t="inlineStr">
        <is>
          <t>RAMESH BAGOANE</t>
        </is>
      </c>
      <c r="B140" s="6" t="inlineStr">
        <is>
          <t>PKNG SLEEVING</t>
        </is>
      </c>
      <c r="C140" s="7" t="n">
        <v>254</v>
      </c>
      <c r="D140" s="7" t="n">
        <v>36.5</v>
      </c>
      <c r="E140" s="7" t="n">
        <v>0</v>
      </c>
      <c r="F140" s="7" t="n">
        <v>0</v>
      </c>
      <c r="G140" s="7" t="n">
        <v>0</v>
      </c>
      <c r="H140" s="7" t="n">
        <v>36.5</v>
      </c>
      <c r="I140" s="7" t="n">
        <v>0</v>
      </c>
      <c r="J140" s="7" t="n">
        <v>36.5</v>
      </c>
      <c r="K140" s="7" t="n">
        <v>4.41</v>
      </c>
    </row>
    <row r="141">
      <c r="A141" s="6" t="inlineStr">
        <is>
          <t>KANTI CALA</t>
        </is>
      </c>
      <c r="B141" s="6" t="inlineStr">
        <is>
          <t>PKNG SLEEVING</t>
        </is>
      </c>
      <c r="C141" s="7" t="n">
        <v>392</v>
      </c>
      <c r="D141" s="7" t="n">
        <v>30.25</v>
      </c>
      <c r="E141" s="7" t="n">
        <v>0</v>
      </c>
      <c r="F141" s="7" t="n">
        <v>0</v>
      </c>
      <c r="G141" s="7" t="n">
        <v>0</v>
      </c>
      <c r="H141" s="7" t="n">
        <v>30.25</v>
      </c>
      <c r="I141" s="7" t="n">
        <v>0</v>
      </c>
      <c r="J141" s="7" t="n">
        <v>30.25</v>
      </c>
      <c r="K141" s="7" t="n">
        <v>3.65</v>
      </c>
    </row>
    <row r="142">
      <c r="A142" s="6" t="inlineStr">
        <is>
          <t>TEJASKUMAR CANGI</t>
        </is>
      </c>
      <c r="B142" s="6" t="inlineStr">
        <is>
          <t>PKNG SLEEVING</t>
        </is>
      </c>
      <c r="C142" s="7" t="n">
        <v>687</v>
      </c>
      <c r="D142" s="7" t="n">
        <v>14.75</v>
      </c>
      <c r="E142" s="7" t="n">
        <v>0</v>
      </c>
      <c r="F142" s="7" t="n">
        <v>0</v>
      </c>
      <c r="G142" s="7" t="n">
        <v>8</v>
      </c>
      <c r="H142" s="7" t="n">
        <v>22.75</v>
      </c>
      <c r="I142" s="7" t="n">
        <v>0</v>
      </c>
      <c r="J142" s="7" t="n">
        <v>22.75</v>
      </c>
      <c r="K142" s="7" t="n">
        <v>2.75</v>
      </c>
    </row>
    <row r="143">
      <c r="A143" s="6" t="inlineStr">
        <is>
          <t>JASMIN CARSANE</t>
        </is>
      </c>
      <c r="B143" s="6" t="inlineStr">
        <is>
          <t>PKNG SLEEVING</t>
        </is>
      </c>
      <c r="C143" s="7" t="n">
        <v>669</v>
      </c>
      <c r="D143" s="7" t="n">
        <v>38.5</v>
      </c>
      <c r="E143" s="7" t="n">
        <v>0</v>
      </c>
      <c r="F143" s="7" t="n">
        <v>0</v>
      </c>
      <c r="G143" s="7" t="n">
        <v>0</v>
      </c>
      <c r="H143" s="7" t="n">
        <v>38.5</v>
      </c>
      <c r="I143" s="7" t="n">
        <v>0</v>
      </c>
      <c r="J143" s="7" t="n">
        <v>38.5</v>
      </c>
      <c r="K143" s="7" t="n">
        <v>4.65</v>
      </c>
    </row>
    <row r="144">
      <c r="A144" s="6" t="inlineStr">
        <is>
          <t>SIMON DIAS</t>
        </is>
      </c>
      <c r="B144" s="6" t="inlineStr">
        <is>
          <t>PKNG SLEEVING</t>
        </is>
      </c>
      <c r="C144" s="7" t="n">
        <v>730</v>
      </c>
      <c r="D144" s="7" t="n">
        <v>29.75</v>
      </c>
      <c r="E144" s="7" t="n">
        <v>0</v>
      </c>
      <c r="F144" s="7" t="n">
        <v>0</v>
      </c>
      <c r="G144" s="7" t="n">
        <v>0</v>
      </c>
      <c r="H144" s="7" t="n">
        <v>29.75</v>
      </c>
      <c r="I144" s="7" t="n">
        <v>0</v>
      </c>
      <c r="J144" s="7" t="n">
        <v>29.75</v>
      </c>
      <c r="K144" s="7" t="n">
        <v>3.59</v>
      </c>
    </row>
    <row r="145">
      <c r="A145" s="6" t="inlineStr">
        <is>
          <t>DINESH MEGGI</t>
        </is>
      </c>
      <c r="B145" s="6" t="inlineStr">
        <is>
          <t>PKNG SLEEVING</t>
        </is>
      </c>
      <c r="C145" s="7" t="n">
        <v>387</v>
      </c>
      <c r="D145" s="7" t="n">
        <v>38.75</v>
      </c>
      <c r="E145" s="7" t="n">
        <v>6.75</v>
      </c>
      <c r="F145" s="7" t="n">
        <v>0</v>
      </c>
      <c r="G145" s="7" t="n">
        <v>0</v>
      </c>
      <c r="H145" s="7" t="n">
        <v>45.5</v>
      </c>
      <c r="I145" s="7" t="n">
        <v>0</v>
      </c>
      <c r="J145" s="7" t="n">
        <v>45.5</v>
      </c>
      <c r="K145" s="7" t="n">
        <v>5.49</v>
      </c>
    </row>
    <row r="146">
      <c r="A146" s="6" t="inlineStr">
        <is>
          <t>VINESHKUMAR MUKESHBHAI PATEL</t>
        </is>
      </c>
      <c r="B146" s="6" t="inlineStr">
        <is>
          <t>PKNG SLEEVING</t>
        </is>
      </c>
      <c r="C146" s="7" t="n">
        <v>683</v>
      </c>
      <c r="D146" s="7" t="n">
        <v>34</v>
      </c>
      <c r="E146" s="7" t="n">
        <v>6.75</v>
      </c>
      <c r="F146" s="7" t="n">
        <v>0</v>
      </c>
      <c r="G146" s="7" t="n">
        <v>0</v>
      </c>
      <c r="H146" s="7" t="n">
        <v>40.75</v>
      </c>
      <c r="I146" s="7" t="n">
        <v>0</v>
      </c>
      <c r="J146" s="7" t="n">
        <v>40.75</v>
      </c>
      <c r="K146" s="7" t="n">
        <v>4.92</v>
      </c>
    </row>
    <row r="147">
      <c r="A147" s="6" t="inlineStr">
        <is>
          <t>MUKESHKUMAR PEMGI</t>
        </is>
      </c>
      <c r="B147" s="6" t="inlineStr">
        <is>
          <t>PKNG SLEEVING</t>
        </is>
      </c>
      <c r="C147" s="7" t="n">
        <v>681</v>
      </c>
      <c r="D147" s="7" t="n">
        <v>38.75</v>
      </c>
      <c r="E147" s="7" t="n">
        <v>0</v>
      </c>
      <c r="F147" s="7" t="n">
        <v>0</v>
      </c>
      <c r="G147" s="7" t="n">
        <v>0</v>
      </c>
      <c r="H147" s="7" t="n">
        <v>38.75</v>
      </c>
      <c r="I147" s="7" t="n">
        <v>0</v>
      </c>
      <c r="J147" s="7" t="n">
        <v>38.75</v>
      </c>
      <c r="K147" s="7" t="n">
        <v>4.68</v>
      </c>
    </row>
    <row r="148">
      <c r="A148" s="6" t="inlineStr">
        <is>
          <t>VISHAL RAMJI</t>
        </is>
      </c>
      <c r="B148" s="6" t="inlineStr">
        <is>
          <t>PKNG SLEEVING</t>
        </is>
      </c>
      <c r="C148" s="7" t="n">
        <v>693</v>
      </c>
      <c r="D148" s="7" t="n">
        <v>33.25</v>
      </c>
      <c r="E148" s="7" t="n">
        <v>6.75</v>
      </c>
      <c r="F148" s="7" t="n">
        <v>0</v>
      </c>
      <c r="G148" s="7" t="n">
        <v>0</v>
      </c>
      <c r="H148" s="7" t="n">
        <v>40</v>
      </c>
      <c r="I148" s="7" t="n">
        <v>0</v>
      </c>
      <c r="J148" s="7" t="n">
        <v>40</v>
      </c>
      <c r="K148" s="7" t="n">
        <v>4.83</v>
      </c>
    </row>
    <row r="149">
      <c r="A149" s="6" t="inlineStr">
        <is>
          <t>JITENDRA SOMA CHAVDA</t>
        </is>
      </c>
      <c r="B149" s="6" t="inlineStr">
        <is>
          <t>PKNG SLEEVING</t>
        </is>
      </c>
      <c r="C149" s="7" t="n">
        <v>715</v>
      </c>
      <c r="D149" s="7" t="n">
        <v>36</v>
      </c>
      <c r="E149" s="7" t="n">
        <v>6.75</v>
      </c>
      <c r="F149" s="7" t="n">
        <v>0</v>
      </c>
      <c r="G149" s="7" t="n">
        <v>0</v>
      </c>
      <c r="H149" s="7" t="n">
        <v>42.75</v>
      </c>
      <c r="I149" s="7" t="n">
        <v>0</v>
      </c>
      <c r="J149" s="7" t="n">
        <v>42.75</v>
      </c>
      <c r="K149" s="7" t="n">
        <v>5.16</v>
      </c>
    </row>
    <row r="150">
      <c r="A150" s="6" t="inlineStr">
        <is>
          <t>DARSHIT TULSHIDAS</t>
        </is>
      </c>
      <c r="B150" s="6" t="inlineStr">
        <is>
          <t>PKNG SLEEVING</t>
        </is>
      </c>
      <c r="C150" s="7" t="n">
        <v>719</v>
      </c>
      <c r="D150" s="7" t="n">
        <v>27</v>
      </c>
      <c r="E150" s="7" t="n">
        <v>0</v>
      </c>
      <c r="F150" s="7" t="n">
        <v>0</v>
      </c>
      <c r="G150" s="7" t="n">
        <v>0</v>
      </c>
      <c r="H150" s="7" t="n">
        <v>27</v>
      </c>
      <c r="I150" s="7" t="n">
        <v>0</v>
      </c>
      <c r="J150" s="7" t="n">
        <v>27</v>
      </c>
      <c r="K150" s="7" t="n">
        <v>3.26</v>
      </c>
    </row>
    <row r="151">
      <c r="A151" s="6" t="inlineStr">
        <is>
          <t>USHABEN BHARAT</t>
        </is>
      </c>
      <c r="B151" s="6" t="inlineStr">
        <is>
          <t>PROD BELT</t>
        </is>
      </c>
      <c r="C151" s="7" t="n">
        <v>646</v>
      </c>
      <c r="D151" s="7" t="n">
        <v>23.75</v>
      </c>
      <c r="E151" s="7" t="n">
        <v>0</v>
      </c>
      <c r="F151" s="7" t="n">
        <v>0</v>
      </c>
      <c r="G151" s="7" t="n">
        <v>0</v>
      </c>
      <c r="H151" s="7" t="n">
        <v>23.75</v>
      </c>
      <c r="I151" s="7" t="n">
        <v>0</v>
      </c>
      <c r="J151" s="7" t="n">
        <v>23.75</v>
      </c>
      <c r="K151" s="7" t="n">
        <v>2.87</v>
      </c>
    </row>
    <row r="152">
      <c r="A152" s="6" t="inlineStr">
        <is>
          <t>VIDYA PATEL</t>
        </is>
      </c>
      <c r="B152" s="6" t="inlineStr">
        <is>
          <t>PROD BELT</t>
        </is>
      </c>
      <c r="C152" s="7" t="n">
        <v>124</v>
      </c>
      <c r="D152" s="7" t="n">
        <v>25.25</v>
      </c>
      <c r="E152" s="7" t="n">
        <v>0</v>
      </c>
      <c r="F152" s="7" t="n">
        <v>0</v>
      </c>
      <c r="G152" s="7" t="n">
        <v>0</v>
      </c>
      <c r="H152" s="7" t="n">
        <v>25.25</v>
      </c>
      <c r="I152" s="7" t="n">
        <v>0</v>
      </c>
      <c r="J152" s="7" t="n">
        <v>25.25</v>
      </c>
      <c r="K152" s="7" t="n">
        <v>3.05</v>
      </c>
    </row>
    <row r="153">
      <c r="A153" s="6" t="inlineStr">
        <is>
          <t>LILA DEVI THAPA</t>
        </is>
      </c>
      <c r="B153" s="6" t="inlineStr">
        <is>
          <t>PROD BELT</t>
        </is>
      </c>
      <c r="C153" s="7" t="n">
        <v>645</v>
      </c>
      <c r="D153" s="7" t="n">
        <v>23.75</v>
      </c>
      <c r="E153" s="7" t="n">
        <v>0</v>
      </c>
      <c r="F153" s="7" t="n">
        <v>0</v>
      </c>
      <c r="G153" s="7" t="n">
        <v>0</v>
      </c>
      <c r="H153" s="7" t="n">
        <v>23.75</v>
      </c>
      <c r="I153" s="7" t="n">
        <v>0</v>
      </c>
      <c r="J153" s="7" t="n">
        <v>23.75</v>
      </c>
      <c r="K153" s="7" t="n">
        <v>2.87</v>
      </c>
    </row>
    <row r="154">
      <c r="A154" s="6" t="inlineStr">
        <is>
          <t>JAGRUTI DEVJI</t>
        </is>
      </c>
      <c r="B154" s="6" t="inlineStr">
        <is>
          <t>PROD BELT</t>
        </is>
      </c>
      <c r="C154" s="7" t="n">
        <v>662</v>
      </c>
      <c r="D154" s="7" t="n">
        <v>25.25</v>
      </c>
      <c r="E154" s="7" t="n">
        <v>0</v>
      </c>
      <c r="F154" s="7" t="n">
        <v>0</v>
      </c>
      <c r="G154" s="7" t="n">
        <v>0</v>
      </c>
      <c r="H154" s="7" t="n">
        <v>25.25</v>
      </c>
      <c r="I154" s="7" t="n">
        <v>0</v>
      </c>
      <c r="J154" s="7" t="n">
        <v>25.25</v>
      </c>
      <c r="K154" s="7" t="n">
        <v>3.05</v>
      </c>
    </row>
    <row r="155">
      <c r="A155" s="6" t="inlineStr">
        <is>
          <t>LALJI GIVA</t>
        </is>
      </c>
      <c r="B155" s="6" t="inlineStr">
        <is>
          <t>PROD BELT</t>
        </is>
      </c>
      <c r="C155" s="7" t="n">
        <v>584</v>
      </c>
      <c r="D155" s="7" t="n">
        <v>27.75</v>
      </c>
      <c r="E155" s="7" t="n">
        <v>0</v>
      </c>
      <c r="F155" s="7" t="n">
        <v>0</v>
      </c>
      <c r="G155" s="7" t="n">
        <v>0</v>
      </c>
      <c r="H155" s="7" t="n">
        <v>27.75</v>
      </c>
      <c r="I155" s="7" t="n">
        <v>0</v>
      </c>
      <c r="J155" s="7" t="n">
        <v>27.75</v>
      </c>
      <c r="K155" s="7" t="n">
        <v>3.35</v>
      </c>
    </row>
    <row r="156">
      <c r="A156" s="6" t="inlineStr">
        <is>
          <t>BIJAYTA GURUNG</t>
        </is>
      </c>
      <c r="B156" s="6" t="inlineStr">
        <is>
          <t>PROD BELT</t>
        </is>
      </c>
      <c r="C156" s="7" t="n">
        <v>40</v>
      </c>
      <c r="D156" s="7" t="n">
        <v>26</v>
      </c>
      <c r="E156" s="7" t="n">
        <v>0</v>
      </c>
      <c r="F156" s="7" t="n">
        <v>0</v>
      </c>
      <c r="G156" s="7" t="n">
        <v>0</v>
      </c>
      <c r="H156" s="7" t="n">
        <v>26</v>
      </c>
      <c r="I156" s="7" t="n">
        <v>0</v>
      </c>
      <c r="J156" s="7" t="n">
        <v>26</v>
      </c>
      <c r="K156" s="7" t="n">
        <v>3.14</v>
      </c>
    </row>
    <row r="157">
      <c r="A157" s="6" t="inlineStr">
        <is>
          <t>JAMNABEN KANJI</t>
        </is>
      </c>
      <c r="B157" s="6" t="inlineStr">
        <is>
          <t>PROD BELT</t>
        </is>
      </c>
      <c r="C157" s="7" t="n">
        <v>756</v>
      </c>
      <c r="D157" s="7" t="n">
        <v>23.75</v>
      </c>
      <c r="E157" s="7" t="n">
        <v>0</v>
      </c>
      <c r="F157" s="7" t="n">
        <v>0</v>
      </c>
      <c r="G157" s="7" t="n">
        <v>0</v>
      </c>
      <c r="H157" s="7" t="n">
        <v>23.75</v>
      </c>
      <c r="I157" s="7" t="n">
        <v>0</v>
      </c>
      <c r="J157" s="7" t="n">
        <v>23.75</v>
      </c>
      <c r="K157" s="7" t="n">
        <v>2.87</v>
      </c>
    </row>
    <row r="158">
      <c r="A158" s="6" t="inlineStr">
        <is>
          <t>EVA KECZAN</t>
        </is>
      </c>
      <c r="B158" s="6" t="inlineStr">
        <is>
          <t>PROD BELT</t>
        </is>
      </c>
      <c r="C158" s="7" t="n">
        <v>204</v>
      </c>
      <c r="D158" s="7" t="n">
        <v>26.75</v>
      </c>
      <c r="E158" s="7" t="n">
        <v>0</v>
      </c>
      <c r="F158" s="7" t="n">
        <v>0</v>
      </c>
      <c r="G158" s="7" t="n">
        <v>0</v>
      </c>
      <c r="H158" s="7" t="n">
        <v>26.75</v>
      </c>
      <c r="I158" s="7" t="n">
        <v>0</v>
      </c>
      <c r="J158" s="7" t="n">
        <v>26.75</v>
      </c>
      <c r="K158" s="7" t="n">
        <v>3.23</v>
      </c>
    </row>
    <row r="159">
      <c r="A159" s="6" t="inlineStr">
        <is>
          <t>MINABEN MAHENDRA</t>
        </is>
      </c>
      <c r="B159" s="6" t="inlineStr">
        <is>
          <t>PROD BELT</t>
        </is>
      </c>
      <c r="C159" s="7" t="n">
        <v>746</v>
      </c>
      <c r="D159" s="7" t="n">
        <v>23.75</v>
      </c>
      <c r="E159" s="7" t="n">
        <v>0</v>
      </c>
      <c r="F159" s="7" t="n">
        <v>0</v>
      </c>
      <c r="G159" s="7" t="n">
        <v>0</v>
      </c>
      <c r="H159" s="7" t="n">
        <v>23.75</v>
      </c>
      <c r="I159" s="7" t="n">
        <v>0</v>
      </c>
      <c r="J159" s="7" t="n">
        <v>23.75</v>
      </c>
      <c r="K159" s="7" t="n">
        <v>2.87</v>
      </c>
    </row>
    <row r="160">
      <c r="A160" s="6" t="inlineStr">
        <is>
          <t>VIDYA PATEL</t>
        </is>
      </c>
      <c r="B160" s="6" t="inlineStr">
        <is>
          <t>PROD BELT</t>
        </is>
      </c>
      <c r="C160" s="7" t="n">
        <v>18</v>
      </c>
      <c r="D160" s="7" t="n">
        <v>21.25</v>
      </c>
      <c r="E160" s="7" t="n">
        <v>0</v>
      </c>
      <c r="F160" s="7" t="n">
        <v>0</v>
      </c>
      <c r="G160" s="7" t="n">
        <v>0</v>
      </c>
      <c r="H160" s="7" t="n">
        <v>21.25</v>
      </c>
      <c r="I160" s="7" t="n">
        <v>0</v>
      </c>
      <c r="J160" s="7" t="n">
        <v>21.25</v>
      </c>
      <c r="K160" s="7" t="n">
        <v>2.56</v>
      </c>
    </row>
    <row r="161">
      <c r="A161" s="6" t="inlineStr">
        <is>
          <t>VICKY PILLAIYANAR</t>
        </is>
      </c>
      <c r="B161" s="6" t="inlineStr">
        <is>
          <t>PROD BELT</t>
        </is>
      </c>
      <c r="C161" s="7" t="n">
        <v>150</v>
      </c>
      <c r="D161" s="7" t="n">
        <v>26.75</v>
      </c>
      <c r="E161" s="7" t="n">
        <v>0</v>
      </c>
      <c r="F161" s="7" t="n">
        <v>0</v>
      </c>
      <c r="G161" s="7" t="n">
        <v>0</v>
      </c>
      <c r="H161" s="7" t="n">
        <v>26.75</v>
      </c>
      <c r="I161" s="7" t="n">
        <v>0</v>
      </c>
      <c r="J161" s="7" t="n">
        <v>26.75</v>
      </c>
      <c r="K161" s="7" t="n">
        <v>3.23</v>
      </c>
    </row>
    <row r="162">
      <c r="A162" s="6" t="inlineStr">
        <is>
          <t>DAYABEN RAJA</t>
        </is>
      </c>
      <c r="B162" s="6" t="inlineStr">
        <is>
          <t>PROD BELT</t>
        </is>
      </c>
      <c r="C162" s="7" t="n">
        <v>550</v>
      </c>
      <c r="D162" s="7" t="n">
        <v>23.75</v>
      </c>
      <c r="E162" s="7" t="n">
        <v>0</v>
      </c>
      <c r="F162" s="7" t="n">
        <v>0</v>
      </c>
      <c r="G162" s="7" t="n">
        <v>0</v>
      </c>
      <c r="H162" s="7" t="n">
        <v>23.75</v>
      </c>
      <c r="I162" s="7" t="n">
        <v>0</v>
      </c>
      <c r="J162" s="7" t="n">
        <v>23.75</v>
      </c>
      <c r="K162" s="7" t="n">
        <v>2.87</v>
      </c>
    </row>
    <row r="163">
      <c r="A163" s="6" t="inlineStr">
        <is>
          <t>URVANSHI RAMESH</t>
        </is>
      </c>
      <c r="B163" s="6" t="inlineStr">
        <is>
          <t>PROD BELT</t>
        </is>
      </c>
      <c r="C163" s="7" t="n">
        <v>733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</row>
    <row r="164">
      <c r="A164" s="6" t="inlineStr">
        <is>
          <t>URMILA SHRESTHA</t>
        </is>
      </c>
      <c r="B164" s="6" t="inlineStr">
        <is>
          <t>PROD BELT</t>
        </is>
      </c>
      <c r="C164" s="7" t="n">
        <v>330</v>
      </c>
      <c r="D164" s="7" t="n">
        <v>25.5</v>
      </c>
      <c r="E164" s="7" t="n">
        <v>0</v>
      </c>
      <c r="F164" s="7" t="n">
        <v>0</v>
      </c>
      <c r="G164" s="7" t="n">
        <v>0</v>
      </c>
      <c r="H164" s="7" t="n">
        <v>25.5</v>
      </c>
      <c r="I164" s="7" t="n">
        <v>0</v>
      </c>
      <c r="J164" s="7" t="n">
        <v>25.5</v>
      </c>
      <c r="K164" s="7" t="n">
        <v>3.08</v>
      </c>
    </row>
    <row r="165">
      <c r="A165" s="6" t="inlineStr">
        <is>
          <t>ALPA THAKKAR</t>
        </is>
      </c>
      <c r="B165" s="6" t="inlineStr">
        <is>
          <t>PROD BELT</t>
        </is>
      </c>
      <c r="C165" s="7" t="n">
        <v>50</v>
      </c>
      <c r="D165" s="7" t="n">
        <v>25.75</v>
      </c>
      <c r="E165" s="7" t="n">
        <v>0</v>
      </c>
      <c r="F165" s="7" t="n">
        <v>0</v>
      </c>
      <c r="G165" s="7" t="n">
        <v>0</v>
      </c>
      <c r="H165" s="7" t="n">
        <v>25.75</v>
      </c>
      <c r="I165" s="7" t="n">
        <v>40</v>
      </c>
      <c r="J165" s="7" t="n">
        <v>0</v>
      </c>
      <c r="K165" s="7" t="n">
        <v>0</v>
      </c>
    </row>
    <row r="166">
      <c r="A166" s="6" t="inlineStr">
        <is>
          <t>NISHA UCARO</t>
        </is>
      </c>
      <c r="B166" s="6" t="inlineStr">
        <is>
          <t>PROD BELT</t>
        </is>
      </c>
      <c r="C166" s="7" t="n">
        <v>663</v>
      </c>
      <c r="D166" s="7" t="n">
        <v>25.25</v>
      </c>
      <c r="E166" s="7" t="n">
        <v>0</v>
      </c>
      <c r="F166" s="7" t="n">
        <v>0</v>
      </c>
      <c r="G166" s="7" t="n">
        <v>0</v>
      </c>
      <c r="H166" s="7" t="n">
        <v>25.25</v>
      </c>
      <c r="I166" s="7" t="n">
        <v>0</v>
      </c>
      <c r="J166" s="7" t="n">
        <v>25.25</v>
      </c>
      <c r="K166" s="7" t="n">
        <v>3.05</v>
      </c>
    </row>
    <row r="167">
      <c r="A167" s="6" t="inlineStr">
        <is>
          <t>HARDIK BHAGVAN</t>
        </is>
      </c>
      <c r="B167" s="6" t="inlineStr">
        <is>
          <t>PROD FORMING</t>
        </is>
      </c>
      <c r="C167" s="7" t="n">
        <v>741</v>
      </c>
      <c r="D167" s="7" t="n">
        <v>38.5</v>
      </c>
      <c r="E167" s="7" t="n">
        <v>0</v>
      </c>
      <c r="F167" s="7" t="n">
        <v>0</v>
      </c>
      <c r="G167" s="7" t="n">
        <v>0</v>
      </c>
      <c r="H167" s="7" t="n">
        <v>38.5</v>
      </c>
      <c r="I167" s="7" t="n">
        <v>0</v>
      </c>
      <c r="J167" s="7" t="n">
        <v>38.5</v>
      </c>
      <c r="K167" s="7" t="n">
        <v>4.65</v>
      </c>
    </row>
    <row r="168">
      <c r="A168" s="6" t="inlineStr">
        <is>
          <t>HARI CALA</t>
        </is>
      </c>
      <c r="B168" s="6" t="inlineStr">
        <is>
          <t>PROD FORMING</t>
        </is>
      </c>
      <c r="C168" s="7" t="n">
        <v>606</v>
      </c>
      <c r="D168" s="7" t="n">
        <v>28.25</v>
      </c>
      <c r="E168" s="7" t="n">
        <v>0</v>
      </c>
      <c r="F168" s="7" t="n">
        <v>0</v>
      </c>
      <c r="G168" s="7" t="n">
        <v>0</v>
      </c>
      <c r="H168" s="7" t="n">
        <v>28.25</v>
      </c>
      <c r="I168" s="7" t="n">
        <v>0</v>
      </c>
      <c r="J168" s="7" t="n">
        <v>28.25</v>
      </c>
      <c r="K168" s="7" t="n">
        <v>3.41</v>
      </c>
    </row>
    <row r="169">
      <c r="A169" s="6" t="inlineStr">
        <is>
          <t>ANCEICAO CARVALHO</t>
        </is>
      </c>
      <c r="B169" s="6" t="inlineStr">
        <is>
          <t>PROD FORMING</t>
        </is>
      </c>
      <c r="C169" s="7" t="n">
        <v>444</v>
      </c>
      <c r="D169" s="7" t="n">
        <v>34.25</v>
      </c>
      <c r="E169" s="7" t="n">
        <v>0</v>
      </c>
      <c r="F169" s="7" t="n">
        <v>0</v>
      </c>
      <c r="G169" s="7" t="n">
        <v>0</v>
      </c>
      <c r="H169" s="7" t="n">
        <v>34.25</v>
      </c>
      <c r="I169" s="7" t="n">
        <v>0</v>
      </c>
      <c r="J169" s="7" t="n">
        <v>34.25</v>
      </c>
      <c r="K169" s="7" t="n">
        <v>4.13</v>
      </c>
    </row>
    <row r="170">
      <c r="A170" s="6" t="inlineStr">
        <is>
          <t>USHABEN HARJI</t>
        </is>
      </c>
      <c r="B170" s="6" t="inlineStr">
        <is>
          <t>PROD FORMING</t>
        </is>
      </c>
      <c r="C170" s="7" t="n">
        <v>739</v>
      </c>
      <c r="D170" s="7" t="n">
        <v>25.5</v>
      </c>
      <c r="E170" s="7" t="n">
        <v>0</v>
      </c>
      <c r="F170" s="7" t="n">
        <v>0</v>
      </c>
      <c r="G170" s="7" t="n">
        <v>0</v>
      </c>
      <c r="H170" s="7" t="n">
        <v>25.5</v>
      </c>
      <c r="I170" s="7" t="n">
        <v>0</v>
      </c>
      <c r="J170" s="7" t="n">
        <v>25.5</v>
      </c>
      <c r="K170" s="7" t="n">
        <v>3.08</v>
      </c>
    </row>
    <row r="171">
      <c r="A171" s="6" t="inlineStr">
        <is>
          <t>BHUMIKA NARSINH VAISHYA</t>
        </is>
      </c>
      <c r="B171" s="6" t="inlineStr">
        <is>
          <t>PROD FORMING</t>
        </is>
      </c>
      <c r="C171" s="7" t="n">
        <v>738</v>
      </c>
      <c r="D171" s="7" t="n">
        <v>25.5</v>
      </c>
      <c r="E171" s="7" t="n">
        <v>0</v>
      </c>
      <c r="F171" s="7" t="n">
        <v>0</v>
      </c>
      <c r="G171" s="7" t="n">
        <v>0</v>
      </c>
      <c r="H171" s="7" t="n">
        <v>25.5</v>
      </c>
      <c r="I171" s="7" t="n">
        <v>0</v>
      </c>
      <c r="J171" s="7" t="n">
        <v>25.5</v>
      </c>
      <c r="K171" s="7" t="n">
        <v>3.08</v>
      </c>
    </row>
    <row r="172">
      <c r="A172" s="6" t="inlineStr">
        <is>
          <t>SHAVJI VARJANGUE</t>
        </is>
      </c>
      <c r="B172" s="6" t="inlineStr">
        <is>
          <t>PROD FORMING</t>
        </is>
      </c>
      <c r="C172" s="7" t="n">
        <v>528</v>
      </c>
      <c r="D172" s="7" t="n">
        <v>38.5</v>
      </c>
      <c r="E172" s="7" t="n">
        <v>0</v>
      </c>
      <c r="F172" s="7" t="n">
        <v>0</v>
      </c>
      <c r="G172" s="7" t="n">
        <v>0</v>
      </c>
      <c r="H172" s="7" t="n">
        <v>38.5</v>
      </c>
      <c r="I172" s="7" t="n">
        <v>0</v>
      </c>
      <c r="J172" s="7" t="n">
        <v>38.5</v>
      </c>
      <c r="K172" s="7" t="n">
        <v>4.65</v>
      </c>
    </row>
    <row r="173">
      <c r="A173" s="6" t="inlineStr">
        <is>
          <t>AKRITI AKRITI</t>
        </is>
      </c>
      <c r="B173" s="6" t="inlineStr">
        <is>
          <t>PROD FRYING</t>
        </is>
      </c>
      <c r="C173" s="7" t="n">
        <v>709</v>
      </c>
      <c r="D173" s="7" t="n">
        <v>25.25</v>
      </c>
      <c r="E173" s="7" t="n">
        <v>0</v>
      </c>
      <c r="F173" s="7" t="n">
        <v>0</v>
      </c>
      <c r="G173" s="7" t="n">
        <v>0</v>
      </c>
      <c r="H173" s="7" t="n">
        <v>25.25</v>
      </c>
      <c r="I173" s="7" t="n">
        <v>0</v>
      </c>
      <c r="J173" s="7" t="n">
        <v>25.25</v>
      </c>
      <c r="K173" s="7" t="n">
        <v>3.05</v>
      </c>
    </row>
    <row r="174">
      <c r="A174" s="6" t="inlineStr">
        <is>
          <t>RAM BAHADUR BHANDARI</t>
        </is>
      </c>
      <c r="B174" s="6" t="inlineStr">
        <is>
          <t>PROD FRYING</t>
        </is>
      </c>
      <c r="C174" s="7" t="n">
        <v>700</v>
      </c>
      <c r="D174" s="7" t="n">
        <v>34</v>
      </c>
      <c r="E174" s="7" t="n">
        <v>7.25</v>
      </c>
      <c r="F174" s="7" t="n">
        <v>0</v>
      </c>
      <c r="G174" s="7" t="n">
        <v>0</v>
      </c>
      <c r="H174" s="7" t="n">
        <v>41.25</v>
      </c>
      <c r="I174" s="7" t="n">
        <v>0</v>
      </c>
      <c r="J174" s="7" t="n">
        <v>41.25</v>
      </c>
      <c r="K174" s="7" t="n">
        <v>4.98</v>
      </c>
    </row>
    <row r="175">
      <c r="A175" s="6" t="inlineStr">
        <is>
          <t>PASANG BAHADUR JIREL</t>
        </is>
      </c>
      <c r="B175" s="6" t="inlineStr">
        <is>
          <t>PROD FRYING</t>
        </is>
      </c>
      <c r="C175" s="7" t="n">
        <v>578</v>
      </c>
      <c r="D175" s="7" t="n">
        <v>27.5</v>
      </c>
      <c r="E175" s="7" t="n">
        <v>0</v>
      </c>
      <c r="F175" s="7" t="n">
        <v>0</v>
      </c>
      <c r="G175" s="7" t="n">
        <v>0</v>
      </c>
      <c r="H175" s="7" t="n">
        <v>27.5</v>
      </c>
      <c r="I175" s="7" t="n">
        <v>0</v>
      </c>
      <c r="J175" s="7" t="n">
        <v>27.5</v>
      </c>
      <c r="K175" s="7" t="n">
        <v>3.32</v>
      </c>
    </row>
    <row r="176">
      <c r="A176" s="6" t="inlineStr">
        <is>
          <t>LIUDVIKA BUTIENE</t>
        </is>
      </c>
      <c r="B176" s="6" t="inlineStr">
        <is>
          <t>PROD FRYING</t>
        </is>
      </c>
      <c r="C176" s="7" t="n">
        <v>21</v>
      </c>
      <c r="D176" s="7" t="n">
        <v>26.5</v>
      </c>
      <c r="E176" s="7" t="n">
        <v>0</v>
      </c>
      <c r="F176" s="7" t="n">
        <v>0</v>
      </c>
      <c r="G176" s="7" t="n">
        <v>0</v>
      </c>
      <c r="H176" s="7" t="n">
        <v>26.5</v>
      </c>
      <c r="I176" s="7" t="n">
        <v>0</v>
      </c>
      <c r="J176" s="7" t="n">
        <v>26.5</v>
      </c>
      <c r="K176" s="7" t="n">
        <v>3.2</v>
      </c>
    </row>
    <row r="177">
      <c r="A177" s="6" t="inlineStr">
        <is>
          <t>JIGNABEN HANSRAJBHAI VAGHASIYA</t>
        </is>
      </c>
      <c r="B177" s="6" t="inlineStr">
        <is>
          <t>PROD FRYING</t>
        </is>
      </c>
      <c r="C177" s="7" t="n">
        <v>740</v>
      </c>
      <c r="D177" s="7" t="n">
        <v>30.5</v>
      </c>
      <c r="E177" s="7" t="n">
        <v>0</v>
      </c>
      <c r="F177" s="7" t="n">
        <v>0</v>
      </c>
      <c r="G177" s="7" t="n">
        <v>0</v>
      </c>
      <c r="H177" s="7" t="n">
        <v>30.5</v>
      </c>
      <c r="I177" s="7" t="n">
        <v>0</v>
      </c>
      <c r="J177" s="7" t="n">
        <v>30.5</v>
      </c>
      <c r="K177" s="7" t="n">
        <v>3.68</v>
      </c>
    </row>
    <row r="178">
      <c r="A178" s="6" t="inlineStr">
        <is>
          <t>CARMINA MONIZ</t>
        </is>
      </c>
      <c r="B178" s="6" t="inlineStr">
        <is>
          <t>PROD FRYING</t>
        </is>
      </c>
      <c r="C178" s="7" t="n">
        <v>755</v>
      </c>
      <c r="D178" s="7" t="n">
        <v>26.5</v>
      </c>
      <c r="E178" s="7" t="n">
        <v>0</v>
      </c>
      <c r="F178" s="7" t="n">
        <v>0</v>
      </c>
      <c r="G178" s="7" t="n">
        <v>0</v>
      </c>
      <c r="H178" s="7" t="n">
        <v>26.5</v>
      </c>
      <c r="I178" s="7" t="n">
        <v>0</v>
      </c>
      <c r="J178" s="7" t="n">
        <v>26.5</v>
      </c>
      <c r="K178" s="7" t="n">
        <v>3.2</v>
      </c>
    </row>
    <row r="179">
      <c r="A179" s="6" t="inlineStr">
        <is>
          <t>DHANJI RAMA</t>
        </is>
      </c>
      <c r="B179" s="6" t="inlineStr">
        <is>
          <t>PROD FRYING</t>
        </is>
      </c>
      <c r="C179" s="7" t="n">
        <v>708</v>
      </c>
      <c r="D179" s="7" t="n">
        <v>27.75</v>
      </c>
      <c r="E179" s="7" t="n">
        <v>0</v>
      </c>
      <c r="F179" s="7" t="n">
        <v>0</v>
      </c>
      <c r="G179" s="7" t="n">
        <v>0</v>
      </c>
      <c r="H179" s="7" t="n">
        <v>27.75</v>
      </c>
      <c r="I179" s="7" t="n">
        <v>0</v>
      </c>
      <c r="J179" s="7" t="n">
        <v>27.75</v>
      </c>
      <c r="K179" s="7" t="n">
        <v>3.35</v>
      </c>
    </row>
    <row r="180">
      <c r="A180" s="6" t="inlineStr">
        <is>
          <t>SHADEV RAMJI</t>
        </is>
      </c>
      <c r="B180" s="6" t="inlineStr">
        <is>
          <t>PROD FRYING</t>
        </is>
      </c>
      <c r="C180" s="7" t="n">
        <v>742</v>
      </c>
      <c r="D180" s="7" t="n">
        <v>30</v>
      </c>
      <c r="E180" s="7" t="n">
        <v>0</v>
      </c>
      <c r="F180" s="7" t="n">
        <v>0</v>
      </c>
      <c r="G180" s="7" t="n">
        <v>0</v>
      </c>
      <c r="H180" s="7" t="n">
        <v>30</v>
      </c>
      <c r="I180" s="7" t="n">
        <v>0</v>
      </c>
      <c r="J180" s="7" t="n">
        <v>30</v>
      </c>
      <c r="K180" s="7" t="n">
        <v>3.62</v>
      </c>
    </row>
    <row r="181">
      <c r="A181" s="6" t="inlineStr">
        <is>
          <t>SAMJHANA ADHIKARI KARKI</t>
        </is>
      </c>
      <c r="B181" s="6" t="inlineStr">
        <is>
          <t>PROD PREPARATION</t>
        </is>
      </c>
      <c r="C181" s="7" t="n">
        <v>736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</row>
    <row r="182">
      <c r="A182" s="6" t="inlineStr">
        <is>
          <t>PRASHANT CANGI</t>
        </is>
      </c>
      <c r="B182" s="6" t="inlineStr">
        <is>
          <t>PROD PREPARATION</t>
        </is>
      </c>
      <c r="C182" s="7" t="n">
        <v>483</v>
      </c>
      <c r="D182" s="7" t="n">
        <v>25.75</v>
      </c>
      <c r="E182" s="7" t="n">
        <v>0</v>
      </c>
      <c r="F182" s="7" t="n">
        <v>0</v>
      </c>
      <c r="G182" s="7" t="n">
        <v>0</v>
      </c>
      <c r="H182" s="7" t="n">
        <v>25.75</v>
      </c>
      <c r="I182" s="7" t="n">
        <v>0</v>
      </c>
      <c r="J182" s="7" t="n">
        <v>25.75</v>
      </c>
      <c r="K182" s="7" t="n">
        <v>3.11</v>
      </c>
    </row>
    <row r="183">
      <c r="A183" s="6" t="inlineStr">
        <is>
          <t>REMY FRANCISCO FERNANDES</t>
        </is>
      </c>
      <c r="B183" s="6" t="inlineStr">
        <is>
          <t>PROD PREPARATION</t>
        </is>
      </c>
      <c r="C183" s="7" t="n">
        <v>613</v>
      </c>
      <c r="D183" s="7" t="n">
        <v>41.25</v>
      </c>
      <c r="E183" s="7" t="n">
        <v>0.5</v>
      </c>
      <c r="F183" s="7" t="n">
        <v>0</v>
      </c>
      <c r="G183" s="7" t="n">
        <v>0</v>
      </c>
      <c r="H183" s="7" t="n">
        <v>41.75</v>
      </c>
      <c r="I183" s="7" t="n">
        <v>0</v>
      </c>
      <c r="J183" s="7" t="n">
        <v>41.75</v>
      </c>
      <c r="K183" s="7" t="n">
        <v>5.04</v>
      </c>
    </row>
    <row r="184">
      <c r="A184" s="6" t="inlineStr">
        <is>
          <t>ANDRE SILVA</t>
        </is>
      </c>
      <c r="B184" s="6" t="inlineStr">
        <is>
          <t>PROD PREPARATION</t>
        </is>
      </c>
      <c r="C184" s="7" t="n">
        <v>627</v>
      </c>
      <c r="D184" s="7" t="n">
        <v>37.75</v>
      </c>
      <c r="E184" s="7" t="n">
        <v>0</v>
      </c>
      <c r="F184" s="7" t="n">
        <v>0</v>
      </c>
      <c r="G184" s="7" t="n">
        <v>0</v>
      </c>
      <c r="H184" s="7" t="n">
        <v>37.75</v>
      </c>
      <c r="I184" s="7" t="n">
        <v>0</v>
      </c>
      <c r="J184" s="7" t="n">
        <v>37.75</v>
      </c>
      <c r="K184" s="7" t="n">
        <v>4.56</v>
      </c>
    </row>
    <row r="185">
      <c r="A185" s="6" t="inlineStr">
        <is>
          <t>MAGDALENA SHAH</t>
        </is>
      </c>
      <c r="B185" s="6" t="inlineStr">
        <is>
          <t>PROD PREPARATION</t>
        </is>
      </c>
      <c r="C185" s="7" t="n">
        <v>263</v>
      </c>
      <c r="D185" s="7" t="n">
        <v>29.5</v>
      </c>
      <c r="E185" s="7" t="n">
        <v>0</v>
      </c>
      <c r="F185" s="7" t="n">
        <v>0</v>
      </c>
      <c r="G185" s="7" t="n">
        <v>0</v>
      </c>
      <c r="H185" s="7" t="n">
        <v>29.5</v>
      </c>
      <c r="I185" s="7" t="n">
        <v>0</v>
      </c>
      <c r="J185" s="7" t="n">
        <v>29.5</v>
      </c>
      <c r="K185" s="7" t="n">
        <v>3.56</v>
      </c>
    </row>
    <row r="186">
      <c r="A186" s="6" t="inlineStr">
        <is>
          <t>FERNANDES MINGUEL</t>
        </is>
      </c>
      <c r="B186" s="6" t="inlineStr">
        <is>
          <t>PROD PREPARATION</t>
        </is>
      </c>
      <c r="C186" s="7" t="n">
        <v>485</v>
      </c>
      <c r="D186" s="7" t="n">
        <v>39.75</v>
      </c>
      <c r="E186" s="7" t="n">
        <v>0</v>
      </c>
      <c r="F186" s="7" t="n">
        <v>0</v>
      </c>
      <c r="G186" s="7" t="n">
        <v>0</v>
      </c>
      <c r="H186" s="7" t="n">
        <v>39.75</v>
      </c>
      <c r="I186" s="7" t="n">
        <v>0</v>
      </c>
      <c r="J186" s="7" t="n">
        <v>39.75</v>
      </c>
      <c r="K186" s="7" t="n">
        <v>4.8</v>
      </c>
    </row>
    <row r="187">
      <c r="A187" s="6" t="inlineStr">
        <is>
          <t>LOURENCO PEREIRA</t>
        </is>
      </c>
      <c r="B187" s="6" t="inlineStr">
        <is>
          <t>PROD PREPARATION</t>
        </is>
      </c>
      <c r="C187" s="7" t="n">
        <v>583</v>
      </c>
      <c r="D187" s="7" t="n">
        <v>39.25</v>
      </c>
      <c r="E187" s="7" t="n">
        <v>0</v>
      </c>
      <c r="F187" s="7" t="n">
        <v>0</v>
      </c>
      <c r="G187" s="7" t="n">
        <v>0</v>
      </c>
      <c r="H187" s="7" t="n">
        <v>39.25</v>
      </c>
      <c r="I187" s="7" t="n">
        <v>0</v>
      </c>
      <c r="J187" s="7" t="n">
        <v>39.25</v>
      </c>
      <c r="K187" s="7" t="n">
        <v>4.74</v>
      </c>
    </row>
    <row r="188">
      <c r="A188" s="6" t="inlineStr">
        <is>
          <t>ANDRE SILVA</t>
        </is>
      </c>
      <c r="B188" s="6" t="inlineStr">
        <is>
          <t>PROD PREPARATION</t>
        </is>
      </c>
      <c r="C188" s="7" t="n">
        <v>546</v>
      </c>
      <c r="D188" s="7" t="n">
        <v>41.25</v>
      </c>
      <c r="E188" s="7" t="n">
        <v>5</v>
      </c>
      <c r="F188" s="7" t="n">
        <v>0</v>
      </c>
      <c r="G188" s="7" t="n">
        <v>0</v>
      </c>
      <c r="H188" s="7" t="n">
        <v>46.25</v>
      </c>
      <c r="I188" s="7" t="n">
        <v>0</v>
      </c>
      <c r="J188" s="7" t="n">
        <v>46.25</v>
      </c>
      <c r="K188" s="7" t="n">
        <v>5.58</v>
      </c>
    </row>
    <row r="189">
      <c r="A189" s="6" t="inlineStr">
        <is>
          <t>GURPREET SINGH</t>
        </is>
      </c>
      <c r="B189" s="6" t="inlineStr">
        <is>
          <t>PROD PREPARATION</t>
        </is>
      </c>
      <c r="C189" s="7" t="n">
        <v>675</v>
      </c>
      <c r="D189" s="7" t="n">
        <v>31.75</v>
      </c>
      <c r="E189" s="7" t="n">
        <v>0</v>
      </c>
      <c r="F189" s="7" t="n">
        <v>0</v>
      </c>
      <c r="G189" s="7" t="n">
        <v>8</v>
      </c>
      <c r="H189" s="7" t="n">
        <v>39.75</v>
      </c>
      <c r="I189" s="7" t="n">
        <v>0</v>
      </c>
      <c r="J189" s="7" t="n">
        <v>39.75</v>
      </c>
      <c r="K189" s="7" t="n">
        <v>4.8</v>
      </c>
    </row>
    <row r="190">
      <c r="A190" s="6" t="inlineStr">
        <is>
          <t>MISHRATA HIMANSHU</t>
        </is>
      </c>
      <c r="B190" s="6" t="inlineStr">
        <is>
          <t>PROD TABLE</t>
        </is>
      </c>
      <c r="C190" s="7" t="n">
        <v>702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</row>
    <row r="191">
      <c r="A191" s="6" t="inlineStr">
        <is>
          <t>BHAVNA IRA</t>
        </is>
      </c>
      <c r="B191" s="6" t="inlineStr">
        <is>
          <t>PROD TABLE</t>
        </is>
      </c>
      <c r="C191" s="7" t="n">
        <v>703</v>
      </c>
      <c r="D191" s="7" t="n">
        <v>23.5</v>
      </c>
      <c r="E191" s="7" t="n">
        <v>0</v>
      </c>
      <c r="F191" s="7" t="n">
        <v>0</v>
      </c>
      <c r="G191" s="7" t="n">
        <v>0</v>
      </c>
      <c r="H191" s="7" t="n">
        <v>23.5</v>
      </c>
      <c r="I191" s="7" t="n">
        <v>0</v>
      </c>
      <c r="J191" s="7" t="n">
        <v>23.5</v>
      </c>
      <c r="K191" s="7" t="n">
        <v>2.84</v>
      </c>
    </row>
    <row r="192">
      <c r="A192" s="6" t="inlineStr">
        <is>
          <t>SUSHILA JIREL</t>
        </is>
      </c>
      <c r="B192" s="6" t="inlineStr">
        <is>
          <t>PROD TABLE</t>
        </is>
      </c>
      <c r="C192" s="7" t="n">
        <v>711</v>
      </c>
      <c r="D192" s="7" t="n">
        <v>25.25</v>
      </c>
      <c r="E192" s="7" t="n">
        <v>0</v>
      </c>
      <c r="F192" s="7" t="n">
        <v>0</v>
      </c>
      <c r="G192" s="7" t="n">
        <v>0</v>
      </c>
      <c r="H192" s="7" t="n">
        <v>25.25</v>
      </c>
      <c r="I192" s="7" t="n">
        <v>0</v>
      </c>
      <c r="J192" s="7" t="n">
        <v>25.25</v>
      </c>
      <c r="K192" s="7" t="n">
        <v>3.05</v>
      </c>
    </row>
    <row r="193">
      <c r="A193" s="6" t="inlineStr">
        <is>
          <t>PARUL LACMANE</t>
        </is>
      </c>
      <c r="B193" s="6" t="inlineStr">
        <is>
          <t>PROD TABLE</t>
        </is>
      </c>
      <c r="C193" s="7" t="n">
        <v>440</v>
      </c>
      <c r="D193" s="7" t="n">
        <v>25.25</v>
      </c>
      <c r="E193" s="7" t="n">
        <v>0</v>
      </c>
      <c r="F193" s="7" t="n">
        <v>0</v>
      </c>
      <c r="G193" s="7" t="n">
        <v>0</v>
      </c>
      <c r="H193" s="7" t="n">
        <v>25.25</v>
      </c>
      <c r="I193" s="7" t="n">
        <v>0</v>
      </c>
      <c r="J193" s="7" t="n">
        <v>25.25</v>
      </c>
      <c r="K193" s="7" t="n">
        <v>3.05</v>
      </c>
    </row>
    <row r="194">
      <c r="A194" s="6" t="inlineStr">
        <is>
          <t>RAMIBAI RATNA</t>
        </is>
      </c>
      <c r="B194" s="6" t="inlineStr">
        <is>
          <t>PROD TABLE</t>
        </is>
      </c>
      <c r="C194" s="7" t="n">
        <v>615</v>
      </c>
      <c r="D194" s="7" t="n">
        <v>25.25</v>
      </c>
      <c r="E194" s="7" t="n">
        <v>0</v>
      </c>
      <c r="F194" s="7" t="n">
        <v>0</v>
      </c>
      <c r="G194" s="7" t="n">
        <v>0</v>
      </c>
      <c r="H194" s="7" t="n">
        <v>25.25</v>
      </c>
      <c r="I194" s="7" t="n">
        <v>0</v>
      </c>
      <c r="J194" s="7" t="n">
        <v>25.25</v>
      </c>
      <c r="K194" s="7" t="n">
        <v>3.05</v>
      </c>
    </row>
    <row r="195">
      <c r="A195" s="6" t="inlineStr">
        <is>
          <t>LAXMIBAI SHAVJI</t>
        </is>
      </c>
      <c r="B195" s="6" t="inlineStr">
        <is>
          <t>PROD TABLE</t>
        </is>
      </c>
      <c r="C195" s="7" t="n">
        <v>699</v>
      </c>
      <c r="D195" s="7" t="n">
        <v>25.25</v>
      </c>
      <c r="E195" s="7" t="n">
        <v>0</v>
      </c>
      <c r="F195" s="7" t="n">
        <v>0</v>
      </c>
      <c r="G195" s="7" t="n">
        <v>0</v>
      </c>
      <c r="H195" s="7" t="n">
        <v>25.25</v>
      </c>
      <c r="I195" s="7" t="n">
        <v>0</v>
      </c>
      <c r="J195" s="7" t="n">
        <v>25.25</v>
      </c>
      <c r="K195" s="7" t="n">
        <v>3.05</v>
      </c>
    </row>
    <row r="196">
      <c r="A196" s="6" t="inlineStr">
        <is>
          <t>BHAGYAVANTI TEJESKUMAR</t>
        </is>
      </c>
      <c r="B196" s="6" t="inlineStr">
        <is>
          <t>PROD TABLE</t>
        </is>
      </c>
      <c r="C196" s="7" t="n">
        <v>722</v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</row>
    <row r="197">
      <c r="A197" s="6" t="inlineStr">
        <is>
          <t>MAHEMUDABEN VAHORA</t>
        </is>
      </c>
      <c r="B197" s="6" t="inlineStr">
        <is>
          <t>PROD TABLE</t>
        </is>
      </c>
      <c r="C197" s="7" t="n">
        <v>414</v>
      </c>
      <c r="D197" s="7" t="n">
        <v>25.25</v>
      </c>
      <c r="E197" s="7" t="n">
        <v>0</v>
      </c>
      <c r="F197" s="7" t="n">
        <v>0</v>
      </c>
      <c r="G197" s="7" t="n">
        <v>0</v>
      </c>
      <c r="H197" s="7" t="n">
        <v>25.25</v>
      </c>
      <c r="I197" s="7" t="n">
        <v>0</v>
      </c>
      <c r="J197" s="7" t="n">
        <v>25.25</v>
      </c>
      <c r="K197" s="7" t="n">
        <v>3.05</v>
      </c>
    </row>
    <row r="198">
      <c r="A198" s="6" t="inlineStr">
        <is>
          <t>ABDULNASER ALI  SALLAM</t>
        </is>
      </c>
      <c r="B198" s="6" t="inlineStr">
        <is>
          <t>TECH TECHNICAL</t>
        </is>
      </c>
      <c r="C198" s="7" t="n">
        <v>523</v>
      </c>
      <c r="D198" s="7" t="n">
        <v>40.5</v>
      </c>
      <c r="E198" s="7" t="n">
        <v>0</v>
      </c>
      <c r="F198" s="7" t="n">
        <v>0</v>
      </c>
      <c r="G198" s="7" t="n">
        <v>0</v>
      </c>
      <c r="H198" s="7" t="n">
        <v>40.5</v>
      </c>
      <c r="I198" s="7" t="n">
        <v>0</v>
      </c>
      <c r="J198" s="7" t="n">
        <v>40.5</v>
      </c>
      <c r="K198" s="7" t="n">
        <v>4.89</v>
      </c>
    </row>
    <row r="199">
      <c r="A199" s="6" t="inlineStr">
        <is>
          <t>PARMINDER KAUR</t>
        </is>
      </c>
      <c r="B199" s="6" t="inlineStr">
        <is>
          <t>TECH TECHNICAL</t>
        </is>
      </c>
      <c r="C199" s="7" t="n">
        <v>417</v>
      </c>
      <c r="D199" s="7" t="n">
        <v>41.25</v>
      </c>
      <c r="E199" s="7" t="n">
        <v>1.75</v>
      </c>
      <c r="F199" s="7" t="n">
        <v>0</v>
      </c>
      <c r="G199" s="7" t="n">
        <v>0</v>
      </c>
      <c r="H199" s="7" t="n">
        <v>43</v>
      </c>
      <c r="I199" s="7" t="n">
        <v>0</v>
      </c>
      <c r="J199" s="7" t="n">
        <v>43</v>
      </c>
      <c r="K199" s="7" t="n">
        <v>5.19</v>
      </c>
    </row>
    <row r="200">
      <c r="A200" s="6" t="inlineStr">
        <is>
          <t>JHALAK PATEL</t>
        </is>
      </c>
      <c r="B200" s="6" t="inlineStr">
        <is>
          <t>TECH TECHNICAL</t>
        </is>
      </c>
      <c r="C200" s="7" t="n">
        <v>678</v>
      </c>
      <c r="D200" s="7" t="n">
        <v>32.25</v>
      </c>
      <c r="E200" s="7" t="n">
        <v>0</v>
      </c>
      <c r="F200" s="7" t="n">
        <v>0</v>
      </c>
      <c r="G200" s="7" t="n">
        <v>8</v>
      </c>
      <c r="H200" s="7" t="n">
        <v>40.25</v>
      </c>
      <c r="I200" s="7" t="n">
        <v>0</v>
      </c>
      <c r="J200" s="7" t="n">
        <v>40.25</v>
      </c>
      <c r="K200" s="7" t="n">
        <v>4.86</v>
      </c>
    </row>
    <row r="201">
      <c r="A201" s="6" t="inlineStr">
        <is>
          <t>HIMANI R DOMADIYA</t>
        </is>
      </c>
      <c r="B201" s="6" t="inlineStr">
        <is>
          <t>TECH TECHNICAL</t>
        </is>
      </c>
      <c r="C201" s="7" t="n">
        <v>682</v>
      </c>
      <c r="D201" s="7" t="n">
        <v>41.25</v>
      </c>
      <c r="E201" s="7" t="n">
        <v>3.75</v>
      </c>
      <c r="F201" s="7" t="n">
        <v>0</v>
      </c>
      <c r="G201" s="7" t="n">
        <v>0</v>
      </c>
      <c r="H201" s="7" t="n">
        <v>45</v>
      </c>
      <c r="I201" s="7" t="n">
        <v>0</v>
      </c>
      <c r="J201" s="7" t="n">
        <v>45</v>
      </c>
      <c r="K201" s="7" t="n">
        <v>5.43</v>
      </c>
    </row>
    <row r="202">
      <c r="A202" s="6" t="inlineStr">
        <is>
          <t>MAGDALENA SHAH</t>
        </is>
      </c>
      <c r="B202" s="6" t="inlineStr">
        <is>
          <t>TECH TECHNICAL</t>
        </is>
      </c>
      <c r="C202" s="7" t="n">
        <v>308</v>
      </c>
      <c r="D202" s="7" t="n">
        <v>32.5</v>
      </c>
      <c r="E202" s="7" t="n">
        <v>0</v>
      </c>
      <c r="F202" s="7" t="n">
        <v>0</v>
      </c>
      <c r="G202" s="7" t="n">
        <v>0</v>
      </c>
      <c r="H202" s="7" t="n">
        <v>32.5</v>
      </c>
      <c r="I202" s="7" t="n">
        <v>0</v>
      </c>
      <c r="J202" s="7" t="n">
        <v>32.5</v>
      </c>
      <c r="K202" s="7" t="n">
        <v>3.92</v>
      </c>
    </row>
    <row r="203">
      <c r="A203" s="6" t="inlineStr">
        <is>
          <t>AMIT AMIT</t>
        </is>
      </c>
      <c r="B203" s="6" t="inlineStr">
        <is>
          <t>WRHS</t>
        </is>
      </c>
      <c r="C203" s="7" t="n">
        <v>674</v>
      </c>
      <c r="D203" s="7" t="n">
        <v>40.25</v>
      </c>
      <c r="E203" s="7" t="n">
        <v>7.5</v>
      </c>
      <c r="F203" s="7" t="n">
        <v>0</v>
      </c>
      <c r="G203" s="7" t="n">
        <v>0</v>
      </c>
      <c r="H203" s="7" t="n">
        <v>47.75</v>
      </c>
      <c r="I203" s="7" t="n">
        <v>0</v>
      </c>
      <c r="J203" s="7" t="n">
        <v>47.75</v>
      </c>
      <c r="K203" s="7" t="n">
        <v>5.76</v>
      </c>
    </row>
    <row r="204">
      <c r="A204" s="6" t="inlineStr">
        <is>
          <t>WOJCIECH GRZEGORZ KOPACZ</t>
        </is>
      </c>
      <c r="B204" s="6" t="inlineStr">
        <is>
          <t>WRHS</t>
        </is>
      </c>
      <c r="C204" s="7" t="n">
        <v>592</v>
      </c>
      <c r="D204" s="7" t="n">
        <v>34</v>
      </c>
      <c r="E204" s="7" t="n">
        <v>0</v>
      </c>
      <c r="F204" s="7" t="n">
        <v>0</v>
      </c>
      <c r="G204" s="7" t="n">
        <v>0</v>
      </c>
      <c r="H204" s="7" t="n">
        <v>34</v>
      </c>
      <c r="I204" s="7" t="n">
        <v>0</v>
      </c>
      <c r="J204" s="7" t="n">
        <v>34</v>
      </c>
      <c r="K204" s="7" t="n">
        <v>4.1</v>
      </c>
    </row>
    <row r="205">
      <c r="A205" s="6" t="inlineStr">
        <is>
          <t>ASHISH SAHOTA</t>
        </is>
      </c>
      <c r="B205" s="6" t="inlineStr">
        <is>
          <t>WRHS</t>
        </is>
      </c>
      <c r="C205" s="7" t="n">
        <v>680</v>
      </c>
      <c r="D205" s="7" t="n">
        <v>41.25</v>
      </c>
      <c r="E205" s="7" t="n">
        <v>7.5</v>
      </c>
      <c r="F205" s="7" t="n">
        <v>0</v>
      </c>
      <c r="G205" s="7" t="n">
        <v>0</v>
      </c>
      <c r="H205" s="7" t="n">
        <v>48.75</v>
      </c>
      <c r="I205" s="7" t="n">
        <v>0</v>
      </c>
      <c r="J205" s="7" t="n">
        <v>48.75</v>
      </c>
      <c r="K205" s="7" t="n">
        <v>5.88</v>
      </c>
    </row>
    <row r="206">
      <c r="A206" s="6" t="inlineStr">
        <is>
          <t>SURENDRAN SUBRAMANI</t>
        </is>
      </c>
      <c r="B206" s="6" t="inlineStr">
        <is>
          <t>WRHS</t>
        </is>
      </c>
      <c r="C206" s="7" t="n">
        <v>205</v>
      </c>
      <c r="D206" s="7" t="n">
        <v>37.25</v>
      </c>
      <c r="E206" s="7" t="n">
        <v>0</v>
      </c>
      <c r="F206" s="7" t="n">
        <v>7.75</v>
      </c>
      <c r="G206" s="7" t="n">
        <v>0</v>
      </c>
      <c r="H206" s="7" t="n">
        <v>45</v>
      </c>
      <c r="I206" s="7" t="n">
        <v>0</v>
      </c>
      <c r="J206" s="7" t="n">
        <v>45</v>
      </c>
      <c r="K206" s="7" t="n">
        <v>5.43</v>
      </c>
    </row>
    <row r="208">
      <c r="A208" s="3" t="inlineStr">
        <is>
          <t>Adjustments (0)</t>
        </is>
      </c>
    </row>
    <row r="209">
      <c r="A209" s="4" t="inlineStr">
        <is>
          <t>Manual hour corrections recorded in the legacy weekly file.</t>
        </is>
      </c>
    </row>
    <row r="210">
      <c r="B210" s="5" t="inlineStr">
        <is>
          <t>Name</t>
        </is>
      </c>
      <c r="C210" s="5" t="inlineStr">
        <is>
          <t>Type</t>
        </is>
      </c>
      <c r="D210" s="5" t="inlineStr">
        <is>
          <t>Value</t>
        </is>
      </c>
    </row>
    <row r="212">
      <c r="A212" s="3" t="inlineStr">
        <is>
          <t>Category totals</t>
        </is>
      </c>
    </row>
    <row r="213">
      <c r="A213" s="4" t="inlineStr">
        <is>
          <t>Sum of hours by work category for this week (SUMIFS from employee rows above).</t>
        </is>
      </c>
    </row>
    <row r="214">
      <c r="A214" s="5" t="n"/>
      <c r="B214" s="5" t="inlineStr">
        <is>
          <t>Category</t>
        </is>
      </c>
      <c r="C214" s="5" t="n"/>
      <c r="D214" s="5" t="inlineStr">
        <is>
          <t>Basic hours</t>
        </is>
      </c>
      <c r="E214" s="5" t="inlineStr">
        <is>
          <t>Mon–Fri overtime</t>
        </is>
      </c>
      <c r="F214" s="5" t="inlineStr">
        <is>
          <t>Sat/Sun overtime</t>
        </is>
      </c>
      <c r="G214" s="5" t="inlineStr">
        <is>
          <t>Annual holiday</t>
        </is>
      </c>
      <c r="H214" s="5" t="inlineStr">
        <is>
          <t>Total paid hours</t>
        </is>
      </c>
      <c r="I214" s="5" t="n"/>
      <c r="J214" s="5" t="n"/>
      <c r="K214" s="5" t="n"/>
    </row>
    <row r="215">
      <c r="A215" s="6" t="n"/>
      <c r="B215" s="6" t="inlineStr">
        <is>
          <t>A-EL CLNR</t>
        </is>
      </c>
      <c r="C215" s="6" t="n"/>
      <c r="D215" s="7">
        <f>SUMIFS($D$7:$D$206,$B$7:$B$206,$B215)</f>
        <v/>
      </c>
      <c r="E215" s="7">
        <f>SUMIFS($E$7:$E$206,$B$7:$B$206,$B215)</f>
        <v/>
      </c>
      <c r="F215" s="7">
        <f>SUMIFS($F$7:$F$206,$B$7:$B$206,$B215)</f>
        <v/>
      </c>
      <c r="G215" s="7">
        <f>SUMIFS($G$7:$G$206,$B$7:$B$206,$B215)</f>
        <v/>
      </c>
      <c r="H215" s="7">
        <f>SUMIFS($H$7:$H$206,$B$7:$B$206,$B215)</f>
        <v/>
      </c>
      <c r="I215" s="6" t="n"/>
      <c r="J215" s="6" t="n"/>
      <c r="K215" s="6" t="n"/>
    </row>
    <row r="216">
      <c r="A216" s="6" t="n"/>
      <c r="B216" s="6" t="inlineStr">
        <is>
          <t>A-EL DPCH</t>
        </is>
      </c>
      <c r="C216" s="6" t="n"/>
      <c r="D216" s="7">
        <f>SUMIFS($D$7:$D$206,$B$7:$B$206,$B216)</f>
        <v/>
      </c>
      <c r="E216" s="7">
        <f>SUMIFS($E$7:$E$206,$B$7:$B$206,$B216)</f>
        <v/>
      </c>
      <c r="F216" s="7">
        <f>SUMIFS($F$7:$F$206,$B$7:$B$206,$B216)</f>
        <v/>
      </c>
      <c r="G216" s="7">
        <f>SUMIFS($G$7:$G$206,$B$7:$B$206,$B216)</f>
        <v/>
      </c>
      <c r="H216" s="7">
        <f>SUMIFS($H$7:$H$206,$B$7:$B$206,$B216)</f>
        <v/>
      </c>
      <c r="I216" s="6" t="n"/>
      <c r="J216" s="6" t="n"/>
      <c r="K216" s="6" t="n"/>
    </row>
    <row r="217">
      <c r="A217" s="6" t="n"/>
      <c r="B217" s="6" t="inlineStr">
        <is>
          <t>A-EL OFCE</t>
        </is>
      </c>
      <c r="C217" s="6" t="n"/>
      <c r="D217" s="7">
        <f>SUMIFS($D$7:$D$206,$B$7:$B$206,$B217)</f>
        <v/>
      </c>
      <c r="E217" s="7">
        <f>SUMIFS($E$7:$E$206,$B$7:$B$206,$B217)</f>
        <v/>
      </c>
      <c r="F217" s="7">
        <f>SUMIFS($F$7:$F$206,$B$7:$B$206,$B217)</f>
        <v/>
      </c>
      <c r="G217" s="7">
        <f>SUMIFS($G$7:$G$206,$B$7:$B$206,$B217)</f>
        <v/>
      </c>
      <c r="H217" s="7">
        <f>SUMIFS($H$7:$H$206,$B$7:$B$206,$B217)</f>
        <v/>
      </c>
      <c r="I217" s="6" t="n"/>
      <c r="J217" s="6" t="n"/>
      <c r="K217" s="6" t="n"/>
    </row>
    <row r="218">
      <c r="A218" s="6" t="n"/>
      <c r="B218" s="6" t="inlineStr">
        <is>
          <t>A-EL PKNG HIGH_RISK</t>
        </is>
      </c>
      <c r="C218" s="6" t="n"/>
      <c r="D218" s="7">
        <f>SUMIFS($D$7:$D$206,$B$7:$B$206,$B218)</f>
        <v/>
      </c>
      <c r="E218" s="7">
        <f>SUMIFS($E$7:$E$206,$B$7:$B$206,$B218)</f>
        <v/>
      </c>
      <c r="F218" s="7">
        <f>SUMIFS($F$7:$F$206,$B$7:$B$206,$B218)</f>
        <v/>
      </c>
      <c r="G218" s="7">
        <f>SUMIFS($G$7:$G$206,$B$7:$B$206,$B218)</f>
        <v/>
      </c>
      <c r="H218" s="7">
        <f>SUMIFS($H$7:$H$206,$B$7:$B$206,$B218)</f>
        <v/>
      </c>
      <c r="I218" s="6" t="n"/>
      <c r="J218" s="6" t="n"/>
      <c r="K218" s="6" t="n"/>
    </row>
    <row r="219">
      <c r="A219" s="6" t="n"/>
      <c r="B219" s="6" t="inlineStr">
        <is>
          <t>A-EL PKNG SLEEVING</t>
        </is>
      </c>
      <c r="C219" s="6" t="n"/>
      <c r="D219" s="7">
        <f>SUMIFS($D$7:$D$206,$B$7:$B$206,$B219)</f>
        <v/>
      </c>
      <c r="E219" s="7">
        <f>SUMIFS($E$7:$E$206,$B$7:$B$206,$B219)</f>
        <v/>
      </c>
      <c r="F219" s="7">
        <f>SUMIFS($F$7:$F$206,$B$7:$B$206,$B219)</f>
        <v/>
      </c>
      <c r="G219" s="7">
        <f>SUMIFS($G$7:$G$206,$B$7:$B$206,$B219)</f>
        <v/>
      </c>
      <c r="H219" s="7">
        <f>SUMIFS($H$7:$H$206,$B$7:$B$206,$B219)</f>
        <v/>
      </c>
      <c r="I219" s="6" t="n"/>
      <c r="J219" s="6" t="n"/>
      <c r="K219" s="6" t="n"/>
    </row>
    <row r="220">
      <c r="A220" s="6" t="n"/>
      <c r="B220" s="6" t="inlineStr">
        <is>
          <t>A-EL PROD BELT</t>
        </is>
      </c>
      <c r="C220" s="6" t="n"/>
      <c r="D220" s="7">
        <f>SUMIFS($D$7:$D$206,$B$7:$B$206,$B220)</f>
        <v/>
      </c>
      <c r="E220" s="7">
        <f>SUMIFS($E$7:$E$206,$B$7:$B$206,$B220)</f>
        <v/>
      </c>
      <c r="F220" s="7">
        <f>SUMIFS($F$7:$F$206,$B$7:$B$206,$B220)</f>
        <v/>
      </c>
      <c r="G220" s="7">
        <f>SUMIFS($G$7:$G$206,$B$7:$B$206,$B220)</f>
        <v/>
      </c>
      <c r="H220" s="7">
        <f>SUMIFS($H$7:$H$206,$B$7:$B$206,$B220)</f>
        <v/>
      </c>
      <c r="I220" s="6" t="n"/>
      <c r="J220" s="6" t="n"/>
      <c r="K220" s="6" t="n"/>
    </row>
    <row r="221">
      <c r="A221" s="6" t="n"/>
      <c r="B221" s="6" t="inlineStr">
        <is>
          <t>A-EL PROD FORMING</t>
        </is>
      </c>
      <c r="C221" s="6" t="n"/>
      <c r="D221" s="7">
        <f>SUMIFS($D$7:$D$206,$B$7:$B$206,$B221)</f>
        <v/>
      </c>
      <c r="E221" s="7">
        <f>SUMIFS($E$7:$E$206,$B$7:$B$206,$B221)</f>
        <v/>
      </c>
      <c r="F221" s="7">
        <f>SUMIFS($F$7:$F$206,$B$7:$B$206,$B221)</f>
        <v/>
      </c>
      <c r="G221" s="7">
        <f>SUMIFS($G$7:$G$206,$B$7:$B$206,$B221)</f>
        <v/>
      </c>
      <c r="H221" s="7">
        <f>SUMIFS($H$7:$H$206,$B$7:$B$206,$B221)</f>
        <v/>
      </c>
      <c r="I221" s="6" t="n"/>
      <c r="J221" s="6" t="n"/>
      <c r="K221" s="6" t="n"/>
    </row>
    <row r="222">
      <c r="A222" s="6" t="n"/>
      <c r="B222" s="6" t="inlineStr">
        <is>
          <t>A-EL PROD FRYING</t>
        </is>
      </c>
      <c r="C222" s="6" t="n"/>
      <c r="D222" s="7">
        <f>SUMIFS($D$7:$D$206,$B$7:$B$206,$B222)</f>
        <v/>
      </c>
      <c r="E222" s="7">
        <f>SUMIFS($E$7:$E$206,$B$7:$B$206,$B222)</f>
        <v/>
      </c>
      <c r="F222" s="7">
        <f>SUMIFS($F$7:$F$206,$B$7:$B$206,$B222)</f>
        <v/>
      </c>
      <c r="G222" s="7">
        <f>SUMIFS($G$7:$G$206,$B$7:$B$206,$B222)</f>
        <v/>
      </c>
      <c r="H222" s="7">
        <f>SUMIFS($H$7:$H$206,$B$7:$B$206,$B222)</f>
        <v/>
      </c>
      <c r="I222" s="6" t="n"/>
      <c r="J222" s="6" t="n"/>
      <c r="K222" s="6" t="n"/>
    </row>
    <row r="223">
      <c r="A223" s="6" t="n"/>
      <c r="B223" s="6" t="inlineStr">
        <is>
          <t>A-EL PROD PREPARATION</t>
        </is>
      </c>
      <c r="C223" s="6" t="n"/>
      <c r="D223" s="7">
        <f>SUMIFS($D$7:$D$206,$B$7:$B$206,$B223)</f>
        <v/>
      </c>
      <c r="E223" s="7">
        <f>SUMIFS($E$7:$E$206,$B$7:$B$206,$B223)</f>
        <v/>
      </c>
      <c r="F223" s="7">
        <f>SUMIFS($F$7:$F$206,$B$7:$B$206,$B223)</f>
        <v/>
      </c>
      <c r="G223" s="7">
        <f>SUMIFS($G$7:$G$206,$B$7:$B$206,$B223)</f>
        <v/>
      </c>
      <c r="H223" s="7">
        <f>SUMIFS($H$7:$H$206,$B$7:$B$206,$B223)</f>
        <v/>
      </c>
      <c r="I223" s="6" t="n"/>
      <c r="J223" s="6" t="n"/>
      <c r="K223" s="6" t="n"/>
    </row>
    <row r="224">
      <c r="A224" s="6" t="n"/>
      <c r="B224" s="6" t="inlineStr">
        <is>
          <t>A-EL TECHNICAL</t>
        </is>
      </c>
      <c r="C224" s="6" t="n"/>
      <c r="D224" s="7">
        <f>SUMIFS($D$7:$D$206,$B$7:$B$206,$B224)</f>
        <v/>
      </c>
      <c r="E224" s="7">
        <f>SUMIFS($E$7:$E$206,$B$7:$B$206,$B224)</f>
        <v/>
      </c>
      <c r="F224" s="7">
        <f>SUMIFS($F$7:$F$206,$B$7:$B$206,$B224)</f>
        <v/>
      </c>
      <c r="G224" s="7">
        <f>SUMIFS($G$7:$G$206,$B$7:$B$206,$B224)</f>
        <v/>
      </c>
      <c r="H224" s="7">
        <f>SUMIFS($H$7:$H$206,$B$7:$B$206,$B224)</f>
        <v/>
      </c>
      <c r="I224" s="6" t="n"/>
      <c r="J224" s="6" t="n"/>
      <c r="K224" s="6" t="n"/>
    </row>
    <row r="225">
      <c r="A225" s="6" t="n"/>
      <c r="B225" s="6" t="inlineStr">
        <is>
          <t>A-EL WRHS</t>
        </is>
      </c>
      <c r="C225" s="6" t="n"/>
      <c r="D225" s="7">
        <f>SUMIFS($D$7:$D$206,$B$7:$B$206,$B225)</f>
        <v/>
      </c>
      <c r="E225" s="7">
        <f>SUMIFS($E$7:$E$206,$B$7:$B$206,$B225)</f>
        <v/>
      </c>
      <c r="F225" s="7">
        <f>SUMIFS($F$7:$F$206,$B$7:$B$206,$B225)</f>
        <v/>
      </c>
      <c r="G225" s="7">
        <f>SUMIFS($G$7:$G$206,$B$7:$B$206,$B225)</f>
        <v/>
      </c>
      <c r="H225" s="7">
        <f>SUMIFS($H$7:$H$206,$B$7:$B$206,$B225)</f>
        <v/>
      </c>
      <c r="I225" s="6" t="n"/>
      <c r="J225" s="6" t="n"/>
      <c r="K225" s="6" t="n"/>
    </row>
    <row r="226">
      <c r="A226" s="6" t="n"/>
      <c r="B226" s="6" t="inlineStr">
        <is>
          <t>A-PM PKNG HIGH_RISK</t>
        </is>
      </c>
      <c r="C226" s="6" t="n"/>
      <c r="D226" s="7">
        <f>SUMIFS($D$7:$D$206,$B$7:$B$206,$B226)</f>
        <v/>
      </c>
      <c r="E226" s="7">
        <f>SUMIFS($E$7:$E$206,$B$7:$B$206,$B226)</f>
        <v/>
      </c>
      <c r="F226" s="7">
        <f>SUMIFS($F$7:$F$206,$B$7:$B$206,$B226)</f>
        <v/>
      </c>
      <c r="G226" s="7">
        <f>SUMIFS($G$7:$G$206,$B$7:$B$206,$B226)</f>
        <v/>
      </c>
      <c r="H226" s="7">
        <f>SUMIFS($H$7:$H$206,$B$7:$B$206,$B226)</f>
        <v/>
      </c>
      <c r="I226" s="6" t="n"/>
      <c r="J226" s="6" t="n"/>
      <c r="K226" s="6" t="n"/>
    </row>
    <row r="227">
      <c r="A227" s="6" t="n"/>
      <c r="B227" s="6" t="inlineStr">
        <is>
          <t>A-RS OFCE</t>
        </is>
      </c>
      <c r="C227" s="6" t="n"/>
      <c r="D227" s="7">
        <f>SUMIFS($D$7:$D$206,$B$7:$B$206,$B227)</f>
        <v/>
      </c>
      <c r="E227" s="7">
        <f>SUMIFS($E$7:$E$206,$B$7:$B$206,$B227)</f>
        <v/>
      </c>
      <c r="F227" s="7">
        <f>SUMIFS($F$7:$F$206,$B$7:$B$206,$B227)</f>
        <v/>
      </c>
      <c r="G227" s="7">
        <f>SUMIFS($G$7:$G$206,$B$7:$B$206,$B227)</f>
        <v/>
      </c>
      <c r="H227" s="7">
        <f>SUMIFS($H$7:$H$206,$B$7:$B$206,$B227)</f>
        <v/>
      </c>
      <c r="I227" s="6" t="n"/>
      <c r="J227" s="6" t="n"/>
      <c r="K227" s="6" t="n"/>
    </row>
    <row r="228">
      <c r="A228" s="6" t="n"/>
      <c r="B228" s="6" t="inlineStr">
        <is>
          <t>A-RS PKNG SLEEVING</t>
        </is>
      </c>
      <c r="C228" s="6" t="n"/>
      <c r="D228" s="7">
        <f>SUMIFS($D$7:$D$206,$B$7:$B$206,$B228)</f>
        <v/>
      </c>
      <c r="E228" s="7">
        <f>SUMIFS($E$7:$E$206,$B$7:$B$206,$B228)</f>
        <v/>
      </c>
      <c r="F228" s="7">
        <f>SUMIFS($F$7:$F$206,$B$7:$B$206,$B228)</f>
        <v/>
      </c>
      <c r="G228" s="7">
        <f>SUMIFS($G$7:$G$206,$B$7:$B$206,$B228)</f>
        <v/>
      </c>
      <c r="H228" s="7">
        <f>SUMIFS($H$7:$H$206,$B$7:$B$206,$B228)</f>
        <v/>
      </c>
      <c r="I228" s="6" t="n"/>
      <c r="J228" s="6" t="n"/>
      <c r="K228" s="6" t="n"/>
    </row>
    <row r="229">
      <c r="A229" s="6" t="n"/>
      <c r="B229" s="6" t="inlineStr">
        <is>
          <t>A-RS PROD BELT</t>
        </is>
      </c>
      <c r="C229" s="6" t="n"/>
      <c r="D229" s="7">
        <f>SUMIFS($D$7:$D$206,$B$7:$B$206,$B229)</f>
        <v/>
      </c>
      <c r="E229" s="7">
        <f>SUMIFS($E$7:$E$206,$B$7:$B$206,$B229)</f>
        <v/>
      </c>
      <c r="F229" s="7">
        <f>SUMIFS($F$7:$F$206,$B$7:$B$206,$B229)</f>
        <v/>
      </c>
      <c r="G229" s="7">
        <f>SUMIFS($G$7:$G$206,$B$7:$B$206,$B229)</f>
        <v/>
      </c>
      <c r="H229" s="7">
        <f>SUMIFS($H$7:$H$206,$B$7:$B$206,$B229)</f>
        <v/>
      </c>
      <c r="I229" s="6" t="n"/>
      <c r="J229" s="6" t="n"/>
      <c r="K229" s="6" t="n"/>
    </row>
    <row r="230">
      <c r="A230" s="6" t="n"/>
      <c r="B230" s="6" t="inlineStr">
        <is>
          <t>CLNR</t>
        </is>
      </c>
      <c r="C230" s="6" t="n"/>
      <c r="D230" s="7">
        <f>SUMIFS($D$7:$D$206,$B$7:$B$206,$B230)</f>
        <v/>
      </c>
      <c r="E230" s="7">
        <f>SUMIFS($E$7:$E$206,$B$7:$B$206,$B230)</f>
        <v/>
      </c>
      <c r="F230" s="7">
        <f>SUMIFS($F$7:$F$206,$B$7:$B$206,$B230)</f>
        <v/>
      </c>
      <c r="G230" s="7">
        <f>SUMIFS($G$7:$G$206,$B$7:$B$206,$B230)</f>
        <v/>
      </c>
      <c r="H230" s="7">
        <f>SUMIFS($H$7:$H$206,$B$7:$B$206,$B230)</f>
        <v/>
      </c>
      <c r="I230" s="6" t="n"/>
      <c r="J230" s="6" t="n"/>
      <c r="K230" s="6" t="n"/>
    </row>
    <row r="231">
      <c r="A231" s="6" t="n"/>
      <c r="B231" s="6" t="inlineStr">
        <is>
          <t>DPCH</t>
        </is>
      </c>
      <c r="C231" s="6" t="n"/>
      <c r="D231" s="7">
        <f>SUMIFS($D$7:$D$206,$B$7:$B$206,$B231)</f>
        <v/>
      </c>
      <c r="E231" s="7">
        <f>SUMIFS($E$7:$E$206,$B$7:$B$206,$B231)</f>
        <v/>
      </c>
      <c r="F231" s="7">
        <f>SUMIFS($F$7:$F$206,$B$7:$B$206,$B231)</f>
        <v/>
      </c>
      <c r="G231" s="7">
        <f>SUMIFS($G$7:$G$206,$B$7:$B$206,$B231)</f>
        <v/>
      </c>
      <c r="H231" s="7">
        <f>SUMIFS($H$7:$H$206,$B$7:$B$206,$B231)</f>
        <v/>
      </c>
      <c r="I231" s="6" t="n"/>
      <c r="J231" s="6" t="n"/>
      <c r="K231" s="6" t="n"/>
    </row>
    <row r="232">
      <c r="A232" s="6" t="n"/>
      <c r="B232" s="6" t="inlineStr">
        <is>
          <t>OFCE</t>
        </is>
      </c>
      <c r="C232" s="6" t="n"/>
      <c r="D232" s="7">
        <f>SUMIFS($D$7:$D$206,$B$7:$B$206,$B232)</f>
        <v/>
      </c>
      <c r="E232" s="7">
        <f>SUMIFS($E$7:$E$206,$B$7:$B$206,$B232)</f>
        <v/>
      </c>
      <c r="F232" s="7">
        <f>SUMIFS($F$7:$F$206,$B$7:$B$206,$B232)</f>
        <v/>
      </c>
      <c r="G232" s="7">
        <f>SUMIFS($G$7:$G$206,$B$7:$B$206,$B232)</f>
        <v/>
      </c>
      <c r="H232" s="7">
        <f>SUMIFS($H$7:$H$206,$B$7:$B$206,$B232)</f>
        <v/>
      </c>
      <c r="I232" s="6" t="n"/>
      <c r="J232" s="6" t="n"/>
      <c r="K232" s="6" t="n"/>
    </row>
    <row r="233">
      <c r="A233" s="6" t="n"/>
      <c r="B233" s="6" t="inlineStr">
        <is>
          <t>PKNG HIGH_RISK</t>
        </is>
      </c>
      <c r="C233" s="6" t="n"/>
      <c r="D233" s="7">
        <f>SUMIFS($D$7:$D$206,$B$7:$B$206,$B233)</f>
        <v/>
      </c>
      <c r="E233" s="7">
        <f>SUMIFS($E$7:$E$206,$B$7:$B$206,$B233)</f>
        <v/>
      </c>
      <c r="F233" s="7">
        <f>SUMIFS($F$7:$F$206,$B$7:$B$206,$B233)</f>
        <v/>
      </c>
      <c r="G233" s="7">
        <f>SUMIFS($G$7:$G$206,$B$7:$B$206,$B233)</f>
        <v/>
      </c>
      <c r="H233" s="7">
        <f>SUMIFS($H$7:$H$206,$B$7:$B$206,$B233)</f>
        <v/>
      </c>
      <c r="I233" s="6" t="n"/>
      <c r="J233" s="6" t="n"/>
      <c r="K233" s="6" t="n"/>
    </row>
    <row r="234">
      <c r="A234" s="6" t="n"/>
      <c r="B234" s="6" t="inlineStr">
        <is>
          <t>PKNG SLEEVING</t>
        </is>
      </c>
      <c r="C234" s="6" t="n"/>
      <c r="D234" s="7">
        <f>SUMIFS($D$7:$D$206,$B$7:$B$206,$B234)</f>
        <v/>
      </c>
      <c r="E234" s="7">
        <f>SUMIFS($E$7:$E$206,$B$7:$B$206,$B234)</f>
        <v/>
      </c>
      <c r="F234" s="7">
        <f>SUMIFS($F$7:$F$206,$B$7:$B$206,$B234)</f>
        <v/>
      </c>
      <c r="G234" s="7">
        <f>SUMIFS($G$7:$G$206,$B$7:$B$206,$B234)</f>
        <v/>
      </c>
      <c r="H234" s="7">
        <f>SUMIFS($H$7:$H$206,$B$7:$B$206,$B234)</f>
        <v/>
      </c>
      <c r="I234" s="6" t="n"/>
      <c r="J234" s="6" t="n"/>
      <c r="K234" s="6" t="n"/>
    </row>
    <row r="235">
      <c r="A235" s="6" t="n"/>
      <c r="B235" s="6" t="inlineStr">
        <is>
          <t>PROD BELT</t>
        </is>
      </c>
      <c r="C235" s="6" t="n"/>
      <c r="D235" s="7">
        <f>SUMIFS($D$7:$D$206,$B$7:$B$206,$B235)</f>
        <v/>
      </c>
      <c r="E235" s="7">
        <f>SUMIFS($E$7:$E$206,$B$7:$B$206,$B235)</f>
        <v/>
      </c>
      <c r="F235" s="7">
        <f>SUMIFS($F$7:$F$206,$B$7:$B$206,$B235)</f>
        <v/>
      </c>
      <c r="G235" s="7">
        <f>SUMIFS($G$7:$G$206,$B$7:$B$206,$B235)</f>
        <v/>
      </c>
      <c r="H235" s="7">
        <f>SUMIFS($H$7:$H$206,$B$7:$B$206,$B235)</f>
        <v/>
      </c>
      <c r="I235" s="6" t="n"/>
      <c r="J235" s="6" t="n"/>
      <c r="K235" s="6" t="n"/>
    </row>
    <row r="236">
      <c r="A236" s="6" t="n"/>
      <c r="B236" s="6" t="inlineStr">
        <is>
          <t>PROD FORMING</t>
        </is>
      </c>
      <c r="C236" s="6" t="n"/>
      <c r="D236" s="7">
        <f>SUMIFS($D$7:$D$206,$B$7:$B$206,$B236)</f>
        <v/>
      </c>
      <c r="E236" s="7">
        <f>SUMIFS($E$7:$E$206,$B$7:$B$206,$B236)</f>
        <v/>
      </c>
      <c r="F236" s="7">
        <f>SUMIFS($F$7:$F$206,$B$7:$B$206,$B236)</f>
        <v/>
      </c>
      <c r="G236" s="7">
        <f>SUMIFS($G$7:$G$206,$B$7:$B$206,$B236)</f>
        <v/>
      </c>
      <c r="H236" s="7">
        <f>SUMIFS($H$7:$H$206,$B$7:$B$206,$B236)</f>
        <v/>
      </c>
      <c r="I236" s="6" t="n"/>
      <c r="J236" s="6" t="n"/>
      <c r="K236" s="6" t="n"/>
    </row>
    <row r="237">
      <c r="A237" s="6" t="n"/>
      <c r="B237" s="6" t="inlineStr">
        <is>
          <t>PROD FRYING</t>
        </is>
      </c>
      <c r="C237" s="6" t="n"/>
      <c r="D237" s="7">
        <f>SUMIFS($D$7:$D$206,$B$7:$B$206,$B237)</f>
        <v/>
      </c>
      <c r="E237" s="7">
        <f>SUMIFS($E$7:$E$206,$B$7:$B$206,$B237)</f>
        <v/>
      </c>
      <c r="F237" s="7">
        <f>SUMIFS($F$7:$F$206,$B$7:$B$206,$B237)</f>
        <v/>
      </c>
      <c r="G237" s="7">
        <f>SUMIFS($G$7:$G$206,$B$7:$B$206,$B237)</f>
        <v/>
      </c>
      <c r="H237" s="7">
        <f>SUMIFS($H$7:$H$206,$B$7:$B$206,$B237)</f>
        <v/>
      </c>
      <c r="I237" s="6" t="n"/>
      <c r="J237" s="6" t="n"/>
      <c r="K237" s="6" t="n"/>
    </row>
    <row r="238">
      <c r="A238" s="6" t="n"/>
      <c r="B238" s="6" t="inlineStr">
        <is>
          <t>PROD PREPARATION</t>
        </is>
      </c>
      <c r="C238" s="6" t="n"/>
      <c r="D238" s="7">
        <f>SUMIFS($D$7:$D$206,$B$7:$B$206,$B238)</f>
        <v/>
      </c>
      <c r="E238" s="7">
        <f>SUMIFS($E$7:$E$206,$B$7:$B$206,$B238)</f>
        <v/>
      </c>
      <c r="F238" s="7">
        <f>SUMIFS($F$7:$F$206,$B$7:$B$206,$B238)</f>
        <v/>
      </c>
      <c r="G238" s="7">
        <f>SUMIFS($G$7:$G$206,$B$7:$B$206,$B238)</f>
        <v/>
      </c>
      <c r="H238" s="7">
        <f>SUMIFS($H$7:$H$206,$B$7:$B$206,$B238)</f>
        <v/>
      </c>
      <c r="I238" s="6" t="n"/>
      <c r="J238" s="6" t="n"/>
      <c r="K238" s="6" t="n"/>
    </row>
    <row r="239">
      <c r="A239" s="6" t="n"/>
      <c r="B239" s="6" t="inlineStr">
        <is>
          <t>PROD TABLE</t>
        </is>
      </c>
      <c r="C239" s="6" t="n"/>
      <c r="D239" s="7">
        <f>SUMIFS($D$7:$D$206,$B$7:$B$206,$B239)</f>
        <v/>
      </c>
      <c r="E239" s="7">
        <f>SUMIFS($E$7:$E$206,$B$7:$B$206,$B239)</f>
        <v/>
      </c>
      <c r="F239" s="7">
        <f>SUMIFS($F$7:$F$206,$B$7:$B$206,$B239)</f>
        <v/>
      </c>
      <c r="G239" s="7">
        <f>SUMIFS($G$7:$G$206,$B$7:$B$206,$B239)</f>
        <v/>
      </c>
      <c r="H239" s="7">
        <f>SUMIFS($H$7:$H$206,$B$7:$B$206,$B239)</f>
        <v/>
      </c>
      <c r="I239" s="6" t="n"/>
      <c r="J239" s="6" t="n"/>
      <c r="K239" s="6" t="n"/>
    </row>
    <row r="240">
      <c r="A240" s="6" t="n"/>
      <c r="B240" s="6" t="inlineStr">
        <is>
          <t>TECH TECHNICAL</t>
        </is>
      </c>
      <c r="C240" s="6" t="n"/>
      <c r="D240" s="7">
        <f>SUMIFS($D$7:$D$206,$B$7:$B$206,$B240)</f>
        <v/>
      </c>
      <c r="E240" s="7">
        <f>SUMIFS($E$7:$E$206,$B$7:$B$206,$B240)</f>
        <v/>
      </c>
      <c r="F240" s="7">
        <f>SUMIFS($F$7:$F$206,$B$7:$B$206,$B240)</f>
        <v/>
      </c>
      <c r="G240" s="7">
        <f>SUMIFS($G$7:$G$206,$B$7:$B$206,$B240)</f>
        <v/>
      </c>
      <c r="H240" s="7">
        <f>SUMIFS($H$7:$H$206,$B$7:$B$206,$B240)</f>
        <v/>
      </c>
      <c r="I240" s="6" t="n"/>
      <c r="J240" s="6" t="n"/>
      <c r="K240" s="6" t="n"/>
    </row>
    <row r="241">
      <c r="A241" s="6" t="n"/>
      <c r="B241" s="6" t="inlineStr">
        <is>
          <t>WRHS</t>
        </is>
      </c>
      <c r="C241" s="6" t="n"/>
      <c r="D241" s="7">
        <f>SUMIFS($D$7:$D$206,$B$7:$B$206,$B241)</f>
        <v/>
      </c>
      <c r="E241" s="7">
        <f>SUMIFS($E$7:$E$206,$B$7:$B$206,$B241)</f>
        <v/>
      </c>
      <c r="F241" s="7">
        <f>SUMIFS($F$7:$F$206,$B$7:$B$206,$B241)</f>
        <v/>
      </c>
      <c r="G241" s="7">
        <f>SUMIFS($G$7:$G$206,$B$7:$B$206,$B241)</f>
        <v/>
      </c>
      <c r="H241" s="7">
        <f>SUMIFS($H$7:$H$206,$B$7:$B$206,$B241)</f>
        <v/>
      </c>
      <c r="I241" s="6" t="n"/>
      <c r="J241" s="6" t="n"/>
      <c r="K241" s="6" t="n"/>
    </row>
    <row r="243">
      <c r="A243" s="3" t="inlineStr">
        <is>
          <t>Grouped totals (by category prefix)</t>
        </is>
      </c>
    </row>
    <row r="244">
      <c r="A244" s="4" t="inlineStr">
        <is>
          <t>Categories rolled up to 4-character groups.</t>
        </is>
      </c>
    </row>
    <row r="245">
      <c r="A245" s="5" t="n"/>
      <c r="B245" s="5" t="inlineStr">
        <is>
          <t>Category</t>
        </is>
      </c>
      <c r="C245" s="5" t="n"/>
      <c r="D245" s="5" t="inlineStr">
        <is>
          <t>Basic hours</t>
        </is>
      </c>
      <c r="E245" s="5" t="inlineStr">
        <is>
          <t>Mon–Fri overtime</t>
        </is>
      </c>
      <c r="F245" s="5" t="inlineStr">
        <is>
          <t>Sat/Sun overtime</t>
        </is>
      </c>
      <c r="G245" s="5" t="inlineStr">
        <is>
          <t>Annual holiday</t>
        </is>
      </c>
      <c r="H245" s="5" t="inlineStr">
        <is>
          <t>Total paid hours</t>
        </is>
      </c>
      <c r="I245" s="5" t="n"/>
      <c r="J245" s="5" t="n"/>
      <c r="K245" s="5" t="n"/>
    </row>
    <row r="246">
      <c r="A246" s="6" t="n"/>
      <c r="B246" s="6" t="inlineStr">
        <is>
          <t>A-EL CLNR</t>
        </is>
      </c>
      <c r="C246" s="6" t="n"/>
      <c r="D246" s="7" t="n">
        <v>193.25</v>
      </c>
      <c r="E246" s="7" t="n">
        <v>15</v>
      </c>
      <c r="F246" s="7" t="n">
        <v>0</v>
      </c>
      <c r="G246" s="7" t="n">
        <v>0</v>
      </c>
      <c r="H246" s="7" t="n">
        <v>208.25</v>
      </c>
      <c r="I246" s="6" t="n"/>
      <c r="J246" s="6" t="n"/>
      <c r="K246" s="6" t="n"/>
    </row>
    <row r="247">
      <c r="A247" s="6" t="n"/>
      <c r="B247" s="6" t="inlineStr">
        <is>
          <t>A-EL DPCH</t>
        </is>
      </c>
      <c r="C247" s="6" t="n"/>
      <c r="D247" s="7" t="n">
        <v>31</v>
      </c>
      <c r="E247" s="7" t="n">
        <v>6.25</v>
      </c>
      <c r="F247" s="7" t="n">
        <v>0</v>
      </c>
      <c r="G247" s="7" t="n">
        <v>0</v>
      </c>
      <c r="H247" s="7" t="n">
        <v>37.25</v>
      </c>
      <c r="I247" s="6" t="n"/>
      <c r="J247" s="6" t="n"/>
      <c r="K247" s="6" t="n"/>
    </row>
    <row r="248">
      <c r="A248" s="6" t="n"/>
      <c r="B248" s="6" t="inlineStr">
        <is>
          <t>A-EL OFCE</t>
        </is>
      </c>
      <c r="C248" s="6" t="n"/>
      <c r="D248" s="7" t="n">
        <v>38.25</v>
      </c>
      <c r="E248" s="7" t="n">
        <v>0</v>
      </c>
      <c r="F248" s="7" t="n">
        <v>0</v>
      </c>
      <c r="G248" s="7" t="n">
        <v>0</v>
      </c>
      <c r="H248" s="7" t="n">
        <v>38.25</v>
      </c>
      <c r="I248" s="6" t="n"/>
      <c r="J248" s="6" t="n"/>
      <c r="K248" s="6" t="n"/>
    </row>
    <row r="249">
      <c r="A249" s="6" t="n"/>
      <c r="B249" s="6" t="inlineStr">
        <is>
          <t>A-EL PKNG</t>
        </is>
      </c>
      <c r="C249" s="6" t="n"/>
      <c r="D249" s="7" t="n">
        <v>462</v>
      </c>
      <c r="E249" s="7" t="n">
        <v>0</v>
      </c>
      <c r="F249" s="7" t="n">
        <v>0</v>
      </c>
      <c r="G249" s="7" t="n">
        <v>0</v>
      </c>
      <c r="H249" s="7" t="n">
        <v>462</v>
      </c>
      <c r="I249" s="6" t="n"/>
      <c r="J249" s="6" t="n"/>
      <c r="K249" s="6" t="n"/>
    </row>
    <row r="250">
      <c r="A250" s="6" t="n"/>
      <c r="B250" s="6" t="inlineStr">
        <is>
          <t>A-EL PROD</t>
        </is>
      </c>
      <c r="C250" s="6" t="n"/>
      <c r="D250" s="7" t="n">
        <v>787</v>
      </c>
      <c r="E250" s="7" t="n">
        <v>0</v>
      </c>
      <c r="F250" s="7" t="n">
        <v>0</v>
      </c>
      <c r="G250" s="7" t="n">
        <v>0</v>
      </c>
      <c r="H250" s="7" t="n">
        <v>787</v>
      </c>
      <c r="I250" s="6" t="n"/>
      <c r="J250" s="6" t="n"/>
      <c r="K250" s="6" t="n"/>
    </row>
    <row r="251">
      <c r="A251" s="6" t="n"/>
      <c r="B251" s="6" t="inlineStr">
        <is>
          <t>A-EL TECH</t>
        </is>
      </c>
      <c r="C251" s="6" t="n"/>
      <c r="D251" s="7" t="n">
        <v>63.5</v>
      </c>
      <c r="E251" s="7" t="n">
        <v>0</v>
      </c>
      <c r="F251" s="7" t="n">
        <v>0</v>
      </c>
      <c r="G251" s="7" t="n">
        <v>0</v>
      </c>
      <c r="H251" s="7" t="n">
        <v>63.5</v>
      </c>
      <c r="I251" s="6" t="n"/>
      <c r="J251" s="6" t="n"/>
      <c r="K251" s="6" t="n"/>
    </row>
    <row r="252">
      <c r="A252" s="6" t="n"/>
      <c r="B252" s="6" t="inlineStr">
        <is>
          <t>A-EL WRHS</t>
        </is>
      </c>
      <c r="C252" s="6" t="n"/>
      <c r="D252" s="7" t="n">
        <v>24.75</v>
      </c>
      <c r="E252" s="7" t="n">
        <v>0</v>
      </c>
      <c r="F252" s="7" t="n">
        <v>0</v>
      </c>
      <c r="G252" s="7" t="n">
        <v>0</v>
      </c>
      <c r="H252" s="7" t="n">
        <v>24.75</v>
      </c>
      <c r="I252" s="6" t="n"/>
      <c r="J252" s="6" t="n"/>
      <c r="K252" s="6" t="n"/>
    </row>
    <row r="253">
      <c r="A253" s="6" t="n"/>
      <c r="B253" s="6" t="inlineStr">
        <is>
          <t>A-PM PKNG</t>
        </is>
      </c>
      <c r="C253" s="6" t="n"/>
      <c r="D253" s="7" t="n">
        <v>30.25</v>
      </c>
      <c r="E253" s="7" t="n">
        <v>0</v>
      </c>
      <c r="F253" s="7" t="n">
        <v>0</v>
      </c>
      <c r="G253" s="7" t="n">
        <v>0</v>
      </c>
      <c r="H253" s="7" t="n">
        <v>30.25</v>
      </c>
      <c r="I253" s="6" t="n"/>
      <c r="J253" s="6" t="n"/>
      <c r="K253" s="6" t="n"/>
    </row>
    <row r="254">
      <c r="A254" s="6" t="n"/>
      <c r="B254" s="6" t="inlineStr">
        <is>
          <t>A-RS OFCE</t>
        </is>
      </c>
      <c r="C254" s="6" t="n"/>
      <c r="D254" s="7" t="n">
        <v>15.25</v>
      </c>
      <c r="E254" s="7" t="n">
        <v>7.75</v>
      </c>
      <c r="F254" s="7" t="n">
        <v>0</v>
      </c>
      <c r="G254" s="7" t="n">
        <v>0</v>
      </c>
      <c r="H254" s="7" t="n">
        <v>23</v>
      </c>
      <c r="I254" s="6" t="n"/>
      <c r="J254" s="6" t="n"/>
      <c r="K254" s="6" t="n"/>
    </row>
    <row r="255">
      <c r="A255" s="6" t="n"/>
      <c r="B255" s="6" t="inlineStr">
        <is>
          <t>A-RS PKNG</t>
        </is>
      </c>
      <c r="C255" s="6" t="n"/>
      <c r="D255" s="7" t="n">
        <v>32.25</v>
      </c>
      <c r="E255" s="7" t="n">
        <v>0</v>
      </c>
      <c r="F255" s="7" t="n">
        <v>0</v>
      </c>
      <c r="G255" s="7" t="n">
        <v>0</v>
      </c>
      <c r="H255" s="7" t="n">
        <v>32.25</v>
      </c>
      <c r="I255" s="6" t="n"/>
      <c r="J255" s="6" t="n"/>
      <c r="K255" s="6" t="n"/>
    </row>
    <row r="256">
      <c r="A256" s="6" t="n"/>
      <c r="B256" s="6" t="inlineStr">
        <is>
          <t>A-RS PROD</t>
        </is>
      </c>
      <c r="C256" s="6" t="n"/>
      <c r="D256" s="7" t="n">
        <v>46.75</v>
      </c>
      <c r="E256" s="7" t="n">
        <v>0</v>
      </c>
      <c r="F256" s="7" t="n">
        <v>0</v>
      </c>
      <c r="G256" s="7" t="n">
        <v>0</v>
      </c>
      <c r="H256" s="7" t="n">
        <v>46.75</v>
      </c>
      <c r="I256" s="6" t="n"/>
      <c r="J256" s="6" t="n"/>
      <c r="K256" s="6" t="n"/>
    </row>
    <row r="257">
      <c r="A257" s="6" t="n"/>
      <c r="B257" s="6" t="inlineStr">
        <is>
          <t>CLNR</t>
        </is>
      </c>
      <c r="C257" s="6" t="n"/>
      <c r="D257" s="7" t="n">
        <v>173.25</v>
      </c>
      <c r="E257" s="7" t="n">
        <v>21.5</v>
      </c>
      <c r="F257" s="7" t="n">
        <v>8.5</v>
      </c>
      <c r="G257" s="7" t="n">
        <v>0</v>
      </c>
      <c r="H257" s="7" t="n">
        <v>203.25</v>
      </c>
      <c r="I257" s="6" t="n"/>
      <c r="J257" s="6" t="n"/>
      <c r="K257" s="6" t="n"/>
    </row>
    <row r="258">
      <c r="A258" s="6" t="n"/>
      <c r="B258" s="6" t="inlineStr">
        <is>
          <t>DPCH</t>
        </is>
      </c>
      <c r="C258" s="6" t="n"/>
      <c r="D258" s="7" t="n">
        <v>41.25</v>
      </c>
      <c r="E258" s="7" t="n">
        <v>22.5</v>
      </c>
      <c r="F258" s="7" t="n">
        <v>0</v>
      </c>
      <c r="G258" s="7" t="n">
        <v>0</v>
      </c>
      <c r="H258" s="7" t="n">
        <v>63.75</v>
      </c>
      <c r="I258" s="6" t="n"/>
      <c r="J258" s="6" t="n"/>
      <c r="K258" s="6" t="n"/>
    </row>
    <row r="259">
      <c r="A259" s="6" t="n"/>
      <c r="B259" s="6" t="inlineStr">
        <is>
          <t>OFCE</t>
        </is>
      </c>
      <c r="C259" s="6" t="n"/>
      <c r="D259" s="7" t="n">
        <v>449.25</v>
      </c>
      <c r="E259" s="7" t="n">
        <v>33.25</v>
      </c>
      <c r="F259" s="7" t="n">
        <v>0</v>
      </c>
      <c r="G259" s="7" t="n">
        <v>4</v>
      </c>
      <c r="H259" s="7" t="n">
        <v>486.5</v>
      </c>
      <c r="I259" s="6" t="n"/>
      <c r="J259" s="6" t="n"/>
      <c r="K259" s="6" t="n"/>
    </row>
    <row r="260">
      <c r="A260" s="6" t="n"/>
      <c r="B260" s="6" t="inlineStr">
        <is>
          <t>PKNG</t>
        </is>
      </c>
      <c r="C260" s="6" t="n"/>
      <c r="D260" s="7" t="n">
        <v>756.5</v>
      </c>
      <c r="E260" s="7" t="n">
        <v>39.75</v>
      </c>
      <c r="F260" s="7" t="n">
        <v>0</v>
      </c>
      <c r="G260" s="7" t="n">
        <v>8</v>
      </c>
      <c r="H260" s="7" t="n">
        <v>804.25</v>
      </c>
      <c r="I260" s="6" t="n"/>
      <c r="J260" s="6" t="n"/>
      <c r="K260" s="6" t="n"/>
    </row>
    <row r="261">
      <c r="A261" s="6" t="n"/>
      <c r="B261" s="6" t="inlineStr">
        <is>
          <t>PROD</t>
        </is>
      </c>
      <c r="C261" s="6" t="n"/>
      <c r="D261" s="7" t="n">
        <v>1228.75</v>
      </c>
      <c r="E261" s="7" t="n">
        <v>12.75</v>
      </c>
      <c r="F261" s="7" t="n">
        <v>0</v>
      </c>
      <c r="G261" s="7" t="n">
        <v>8</v>
      </c>
      <c r="H261" s="7" t="n">
        <v>1249.5</v>
      </c>
      <c r="I261" s="6" t="n"/>
      <c r="J261" s="6" t="n"/>
      <c r="K261" s="6" t="n"/>
    </row>
    <row r="262">
      <c r="A262" s="6" t="n"/>
      <c r="B262" s="6" t="inlineStr">
        <is>
          <t>TECH</t>
        </is>
      </c>
      <c r="C262" s="6" t="n"/>
      <c r="D262" s="7" t="n">
        <v>187.75</v>
      </c>
      <c r="E262" s="7" t="n">
        <v>5.5</v>
      </c>
      <c r="F262" s="7" t="n">
        <v>0</v>
      </c>
      <c r="G262" s="7" t="n">
        <v>8</v>
      </c>
      <c r="H262" s="7" t="n">
        <v>201.25</v>
      </c>
      <c r="I262" s="6" t="n"/>
      <c r="J262" s="6" t="n"/>
      <c r="K262" s="6" t="n"/>
    </row>
    <row r="263">
      <c r="A263" s="6" t="n"/>
      <c r="B263" s="6" t="inlineStr">
        <is>
          <t>WRHS</t>
        </is>
      </c>
      <c r="C263" s="6" t="n"/>
      <c r="D263" s="7" t="n">
        <v>152.75</v>
      </c>
      <c r="E263" s="7" t="n">
        <v>15</v>
      </c>
      <c r="F263" s="7" t="n">
        <v>7.75</v>
      </c>
      <c r="G263" s="7" t="n">
        <v>0</v>
      </c>
      <c r="H263" s="7" t="n">
        <v>175.5</v>
      </c>
      <c r="I263" s="6" t="n"/>
      <c r="J263" s="6" t="n"/>
      <c r="K263" s="6" t="n"/>
    </row>
    <row r="265">
      <c r="A265" s="3" t="inlineStr">
        <is>
          <t>Category breakdown (overall)</t>
        </is>
      </c>
    </row>
    <row r="266">
      <c r="A266" s="4" t="inlineStr">
        <is>
          <t>Hours by department — Gazebo and agency combined (PROD, PACK, WRHS, CLNR, TECH, OFFICE).</t>
        </is>
      </c>
    </row>
    <row r="267">
      <c r="A267" s="5" t="n"/>
      <c r="B267" s="5" t="inlineStr">
        <is>
          <t>Category</t>
        </is>
      </c>
      <c r="C267" s="5" t="n"/>
      <c r="D267" s="5" t="inlineStr">
        <is>
          <t>Basic hours</t>
        </is>
      </c>
      <c r="E267" s="5" t="inlineStr">
        <is>
          <t>Mon–Fri overtime</t>
        </is>
      </c>
      <c r="F267" s="5" t="inlineStr">
        <is>
          <t>Sat/Sun overtime</t>
        </is>
      </c>
      <c r="G267" s="5" t="inlineStr">
        <is>
          <t>Annual holiday</t>
        </is>
      </c>
      <c r="H267" s="5" t="inlineStr">
        <is>
          <t>Total paid hours</t>
        </is>
      </c>
      <c r="I267" s="5" t="n"/>
      <c r="J267" s="5" t="n"/>
      <c r="K267" s="5" t="n"/>
    </row>
    <row r="268">
      <c r="A268" s="6" t="n"/>
      <c r="B268" s="6" t="inlineStr">
        <is>
          <t>PROD</t>
        </is>
      </c>
      <c r="C268" s="6" t="n"/>
      <c r="D268" s="7" t="n">
        <v>2062.5</v>
      </c>
      <c r="E268" s="7" t="n">
        <v>12.75</v>
      </c>
      <c r="F268" s="7" t="n">
        <v>0</v>
      </c>
      <c r="G268" s="7" t="n">
        <v>8</v>
      </c>
      <c r="H268" s="7" t="n">
        <v>2083.25</v>
      </c>
      <c r="I268" s="6" t="n"/>
      <c r="J268" s="6" t="n"/>
      <c r="K268" s="6" t="n"/>
    </row>
    <row r="269">
      <c r="A269" s="6" t="n"/>
      <c r="B269" s="6" t="inlineStr">
        <is>
          <t>PACK</t>
        </is>
      </c>
      <c r="C269" s="6" t="n"/>
      <c r="D269" s="7" t="n">
        <v>1353.25</v>
      </c>
      <c r="E269" s="7" t="n">
        <v>68.5</v>
      </c>
      <c r="F269" s="7" t="n">
        <v>0</v>
      </c>
      <c r="G269" s="7" t="n">
        <v>8</v>
      </c>
      <c r="H269" s="7" t="n">
        <v>1429.75</v>
      </c>
      <c r="I269" s="6" t="n"/>
      <c r="J269" s="6" t="n"/>
      <c r="K269" s="6" t="n"/>
    </row>
    <row r="270">
      <c r="A270" s="6" t="n"/>
      <c r="B270" s="6" t="inlineStr">
        <is>
          <t>WRHS</t>
        </is>
      </c>
      <c r="C270" s="6" t="n"/>
      <c r="D270" s="7" t="n">
        <v>177.5</v>
      </c>
      <c r="E270" s="7" t="n">
        <v>15</v>
      </c>
      <c r="F270" s="7" t="n">
        <v>7.75</v>
      </c>
      <c r="G270" s="7" t="n">
        <v>0</v>
      </c>
      <c r="H270" s="7" t="n">
        <v>200.25</v>
      </c>
      <c r="I270" s="6" t="n"/>
      <c r="J270" s="6" t="n"/>
      <c r="K270" s="6" t="n"/>
    </row>
    <row r="271">
      <c r="A271" s="6" t="n"/>
      <c r="B271" s="6" t="inlineStr">
        <is>
          <t>CLNR</t>
        </is>
      </c>
      <c r="C271" s="6" t="n"/>
      <c r="D271" s="7" t="n">
        <v>366.5</v>
      </c>
      <c r="E271" s="7" t="n">
        <v>36.5</v>
      </c>
      <c r="F271" s="7" t="n">
        <v>8.5</v>
      </c>
      <c r="G271" s="7" t="n">
        <v>0</v>
      </c>
      <c r="H271" s="7" t="n">
        <v>411.5</v>
      </c>
      <c r="I271" s="6" t="n"/>
      <c r="J271" s="6" t="n"/>
      <c r="K271" s="6" t="n"/>
    </row>
    <row r="272">
      <c r="A272" s="6" t="n"/>
      <c r="B272" s="6" t="inlineStr">
        <is>
          <t>TECH</t>
        </is>
      </c>
      <c r="C272" s="6" t="n"/>
      <c r="D272" s="7" t="n">
        <v>251.25</v>
      </c>
      <c r="E272" s="7" t="n">
        <v>5.5</v>
      </c>
      <c r="F272" s="7" t="n">
        <v>0</v>
      </c>
      <c r="G272" s="7" t="n">
        <v>8</v>
      </c>
      <c r="H272" s="7" t="n">
        <v>264.75</v>
      </c>
      <c r="I272" s="6" t="n"/>
      <c r="J272" s="6" t="n"/>
      <c r="K272" s="6" t="n"/>
    </row>
    <row r="273">
      <c r="A273" s="6" t="n"/>
      <c r="B273" s="6" t="inlineStr">
        <is>
          <t>OFFICE</t>
        </is>
      </c>
      <c r="C273" s="6" t="n"/>
      <c r="D273" s="7" t="n">
        <v>502.75</v>
      </c>
      <c r="E273" s="7" t="n">
        <v>41</v>
      </c>
      <c r="F273" s="7" t="n">
        <v>0</v>
      </c>
      <c r="G273" s="7" t="n">
        <v>4</v>
      </c>
      <c r="H273" s="7" t="n">
        <v>547.75</v>
      </c>
      <c r="I273" s="6" t="n"/>
      <c r="J273" s="6" t="n"/>
      <c r="K273" s="6" t="n"/>
    </row>
    <row r="275">
      <c r="A275" s="3" t="inlineStr">
        <is>
          <t>Gazebo vs agency summary</t>
        </is>
      </c>
    </row>
    <row r="276">
      <c r="A276" s="4" t="inlineStr">
        <is>
          <t>EMP = Gazebo staff; AGENCY = A- categories; TOTAL = both (formulas from employee table).</t>
        </is>
      </c>
    </row>
    <row r="277">
      <c r="B277" s="5" t="inlineStr">
        <is>
          <t>Category</t>
        </is>
      </c>
      <c r="C277" s="5" t="n"/>
      <c r="D277" s="5" t="inlineStr">
        <is>
          <t>Basic hours</t>
        </is>
      </c>
      <c r="E277" s="5" t="inlineStr">
        <is>
          <t>Mon–Fri overtime</t>
        </is>
      </c>
      <c r="F277" s="5" t="inlineStr">
        <is>
          <t>Sat/Sun overtime</t>
        </is>
      </c>
      <c r="G277" s="5" t="inlineStr">
        <is>
          <t>Annual holiday</t>
        </is>
      </c>
      <c r="H277" s="5" t="inlineStr">
        <is>
          <t>Total paid hours</t>
        </is>
      </c>
      <c r="I277" s="5" t="n"/>
      <c r="J277" s="5" t="n"/>
      <c r="K277" s="5" t="n"/>
    </row>
    <row r="278">
      <c r="B278" s="6" t="n"/>
      <c r="C278" s="6" t="inlineStr">
        <is>
          <t>EMP</t>
        </is>
      </c>
      <c r="D278" s="7">
        <f>SUM($D$7:$D$206)-D279</f>
        <v/>
      </c>
      <c r="E278" s="7">
        <f>SUM($E$7:$E$206)-E279</f>
        <v/>
      </c>
      <c r="F278" s="7">
        <f>SUM($F$7:$F$206)-F279</f>
        <v/>
      </c>
      <c r="G278" s="7">
        <f>SUM($G$7:$G$206)-G279</f>
        <v/>
      </c>
      <c r="H278" s="7">
        <f>SUM($H$7:$H$206)-H279</f>
        <v/>
      </c>
      <c r="I278" s="6" t="n"/>
      <c r="J278" s="6" t="n"/>
      <c r="K278" s="6" t="n"/>
    </row>
    <row r="279">
      <c r="B279" s="6" t="n"/>
      <c r="C279" s="6" t="inlineStr">
        <is>
          <t>AGENCY</t>
        </is>
      </c>
      <c r="D279" s="7">
        <f>SUMPRODUCT((LEFT($B$7:$B$206,2)="A-")*($D$7:$D$206))</f>
        <v/>
      </c>
      <c r="E279" s="7">
        <f>SUMPRODUCT((LEFT($B$7:$B$206,2)="A-")*($E$7:$E$206))</f>
        <v/>
      </c>
      <c r="F279" s="7">
        <f>SUMPRODUCT((LEFT($B$7:$B$206,2)="A-")*($F$7:$F$206))</f>
        <v/>
      </c>
      <c r="G279" s="7">
        <f>SUMPRODUCT((LEFT($B$7:$B$206,2)="A-")*($G$7:$G$206))</f>
        <v/>
      </c>
      <c r="H279" s="7">
        <f>SUMPRODUCT((LEFT($B$7:$B$206,2)="A-")*($H$7:$H$206))</f>
        <v/>
      </c>
      <c r="I279" s="6" t="n"/>
      <c r="J279" s="6" t="n"/>
      <c r="K279" s="6" t="n"/>
    </row>
    <row r="280">
      <c r="B280" s="6" t="n"/>
      <c r="C280" s="6" t="inlineStr">
        <is>
          <t>TOTAL</t>
        </is>
      </c>
      <c r="D280" s="7">
        <f>D278+D279</f>
        <v/>
      </c>
      <c r="E280" s="7">
        <f>E278+E279</f>
        <v/>
      </c>
      <c r="F280" s="7">
        <f>F278+F279</f>
        <v/>
      </c>
      <c r="G280" s="7">
        <f>G278+G279</f>
        <v/>
      </c>
      <c r="H280" s="7">
        <f>H278+H279</f>
        <v/>
      </c>
      <c r="I280" s="6" t="n"/>
      <c r="J280" s="6" t="n"/>
      <c r="K280" s="6" t="n"/>
    </row>
    <row r="282">
      <c r="A282" s="3" t="inlineStr">
        <is>
          <t>Additional holiday pay</t>
        </is>
      </c>
    </row>
    <row r="283">
      <c r="A283" s="4" t="inlineStr">
        <is>
          <t>Extra hours = actual − contracted; additional holiday pay = 0.1207 × extra hours (weekly report rules).</t>
        </is>
      </c>
    </row>
    <row r="284">
      <c r="B284" s="5" t="inlineStr">
        <is>
          <t>Category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inlineStr">
        <is>
          <t>Extra hours</t>
        </is>
      </c>
      <c r="K284" s="5" t="inlineStr">
        <is>
          <t>Additional holiday pay</t>
        </is>
      </c>
    </row>
    <row r="285">
      <c r="B285" s="6" t="n"/>
      <c r="C285" s="6" t="inlineStr">
        <is>
          <t>EMP</t>
        </is>
      </c>
      <c r="D285" s="6" t="n"/>
      <c r="E285" s="6" t="n"/>
      <c r="F285" s="6" t="n"/>
      <c r="G285" s="6" t="n"/>
      <c r="H285" s="6" t="n"/>
      <c r="I285" s="6" t="n"/>
      <c r="J285" s="7">
        <f>SUM($J$7:$J$206)-J286</f>
        <v/>
      </c>
      <c r="K285" s="7">
        <f>SUM($K$7:$K$206)-K286</f>
        <v/>
      </c>
    </row>
    <row r="286">
      <c r="B286" s="6" t="n"/>
      <c r="C286" s="6" t="inlineStr">
        <is>
          <t>AGENCY</t>
        </is>
      </c>
      <c r="D286" s="6" t="n"/>
      <c r="E286" s="6" t="n"/>
      <c r="F286" s="6" t="n"/>
      <c r="G286" s="6" t="n"/>
      <c r="H286" s="6" t="n"/>
      <c r="I286" s="6" t="n"/>
      <c r="J286" s="7">
        <f>SUMPRODUCT((LEFT($B$7:$B$206,2)="A-")*($J$7:$J$206))</f>
        <v/>
      </c>
      <c r="K286" s="7">
        <f>SUMPRODUCT((LEFT($B$7:$B$206,2)="A-")*($K$7:$K$206))</f>
        <v/>
      </c>
    </row>
    <row r="287">
      <c r="B287" s="6" t="n"/>
      <c r="C287" s="6" t="inlineStr">
        <is>
          <t>TOTAL</t>
        </is>
      </c>
      <c r="D287" s="6" t="n"/>
      <c r="E287" s="6" t="n"/>
      <c r="F287" s="6" t="n"/>
      <c r="G287" s="6" t="n"/>
      <c r="H287" s="6" t="n"/>
      <c r="I287" s="6" t="n"/>
      <c r="J287" s="7">
        <f>J285+J286</f>
        <v/>
      </c>
      <c r="K287" s="7">
        <f>K285+K286</f>
        <v/>
      </c>
    </row>
  </sheetData>
  <mergeCells count="16">
    <mergeCell ref="A244:K244"/>
    <mergeCell ref="A4:K4"/>
    <mergeCell ref="A276:K276"/>
    <mergeCell ref="A209:K209"/>
    <mergeCell ref="A275:K275"/>
    <mergeCell ref="A212:K212"/>
    <mergeCell ref="A2:K2"/>
    <mergeCell ref="A243:K243"/>
    <mergeCell ref="A265:K265"/>
    <mergeCell ref="A266:K266"/>
    <mergeCell ref="A213:K213"/>
    <mergeCell ref="A208:K208"/>
    <mergeCell ref="A5:K5"/>
    <mergeCell ref="A283:K283"/>
    <mergeCell ref="A282:K28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2</t>
        </is>
      </c>
    </row>
    <row r="2">
      <c r="A2" s="2" t="inlineStr"/>
    </row>
    <row r="4">
      <c r="A4" s="3" t="inlineStr">
        <is>
          <t>Week 2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33</v>
      </c>
      <c r="E7" s="7" t="n">
        <v>0</v>
      </c>
      <c r="F7" s="7" t="n">
        <v>0</v>
      </c>
      <c r="G7" s="7" t="n">
        <v>0</v>
      </c>
      <c r="H7" s="7" t="n">
        <v>33</v>
      </c>
      <c r="I7" s="7" t="n">
        <v>0</v>
      </c>
      <c r="J7" s="7" t="n">
        <v>33</v>
      </c>
      <c r="K7" s="7" t="n">
        <v>3.98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7" t="n">
        <v>32</v>
      </c>
      <c r="E10" s="7" t="n">
        <v>6.75</v>
      </c>
      <c r="F10" s="7" t="n">
        <v>0</v>
      </c>
      <c r="G10" s="7" t="n">
        <v>0</v>
      </c>
      <c r="H10" s="7" t="n">
        <v>38.75</v>
      </c>
      <c r="I10" s="7" t="n">
        <v>0</v>
      </c>
      <c r="J10" s="7" t="n">
        <v>38.75</v>
      </c>
      <c r="K10" s="7" t="n">
        <v>4.68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7" t="n">
        <v>37.25</v>
      </c>
      <c r="E11" s="7" t="n">
        <v>7.5</v>
      </c>
      <c r="F11" s="7" t="n">
        <v>0</v>
      </c>
      <c r="G11" s="7" t="n">
        <v>0</v>
      </c>
      <c r="H11" s="7" t="n">
        <v>44.75</v>
      </c>
      <c r="I11" s="7" t="n">
        <v>0</v>
      </c>
      <c r="J11" s="7" t="n">
        <v>44.75</v>
      </c>
      <c r="K11" s="7" t="n">
        <v>5.4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7" t="n">
        <v>24</v>
      </c>
      <c r="E15" s="7" t="n">
        <v>0</v>
      </c>
      <c r="F15" s="7" t="n">
        <v>0</v>
      </c>
      <c r="G15" s="7" t="n">
        <v>0</v>
      </c>
      <c r="H15" s="7" t="n">
        <v>24</v>
      </c>
      <c r="I15" s="7" t="n">
        <v>0</v>
      </c>
      <c r="J15" s="7" t="n">
        <v>24</v>
      </c>
      <c r="K15" s="7" t="n">
        <v>2.9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7" t="n">
        <v>28.5</v>
      </c>
      <c r="E16" s="7" t="n">
        <v>0</v>
      </c>
      <c r="F16" s="7" t="n">
        <v>0</v>
      </c>
      <c r="G16" s="7" t="n">
        <v>0</v>
      </c>
      <c r="H16" s="7" t="n">
        <v>28.5</v>
      </c>
      <c r="I16" s="7" t="n">
        <v>0</v>
      </c>
      <c r="J16" s="7" t="n">
        <v>28.5</v>
      </c>
      <c r="K16" s="7" t="n">
        <v>3.44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7" t="n">
        <v>31.25</v>
      </c>
      <c r="E17" s="7" t="n">
        <v>0</v>
      </c>
      <c r="F17" s="7" t="n">
        <v>0</v>
      </c>
      <c r="G17" s="7" t="n">
        <v>0</v>
      </c>
      <c r="H17" s="7" t="n">
        <v>31.25</v>
      </c>
      <c r="I17" s="7" t="n">
        <v>0</v>
      </c>
      <c r="J17" s="7" t="n">
        <v>31.25</v>
      </c>
      <c r="K17" s="7" t="n">
        <v>3.77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7" t="n">
        <v>31.75</v>
      </c>
      <c r="E18" s="7" t="n">
        <v>0</v>
      </c>
      <c r="F18" s="7" t="n">
        <v>0</v>
      </c>
      <c r="G18" s="7" t="n">
        <v>0</v>
      </c>
      <c r="H18" s="7" t="n">
        <v>31.75</v>
      </c>
      <c r="I18" s="7" t="n">
        <v>0</v>
      </c>
      <c r="J18" s="7" t="n">
        <v>31.75</v>
      </c>
      <c r="K18" s="7" t="n">
        <v>3.83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7" t="n">
        <v>32.5</v>
      </c>
      <c r="E19" s="7" t="n">
        <v>0</v>
      </c>
      <c r="F19" s="7" t="n">
        <v>0</v>
      </c>
      <c r="G19" s="7" t="n">
        <v>0</v>
      </c>
      <c r="H19" s="7" t="n">
        <v>32.5</v>
      </c>
      <c r="I19" s="7" t="n">
        <v>0</v>
      </c>
      <c r="J19" s="7" t="n">
        <v>32.5</v>
      </c>
      <c r="K19" s="7" t="n">
        <v>3.92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RUTIKABEN VADDORIYA EOLL</t>
        </is>
      </c>
      <c r="B25" s="6" t="inlineStr">
        <is>
          <t>A-EL PKNG HIGH_RISK</t>
        </is>
      </c>
      <c r="C25" s="7" t="n">
        <v>1515</v>
      </c>
      <c r="D25" s="7" t="n">
        <v>32.75</v>
      </c>
      <c r="E25" s="7" t="n">
        <v>0</v>
      </c>
      <c r="F25" s="7" t="n">
        <v>0</v>
      </c>
      <c r="G25" s="7" t="n">
        <v>0</v>
      </c>
      <c r="H25" s="7" t="n">
        <v>32.75</v>
      </c>
      <c r="I25" s="7" t="n">
        <v>0</v>
      </c>
      <c r="J25" s="7" t="n">
        <v>32.75</v>
      </c>
      <c r="K25" s="7" t="n">
        <v>3.95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7" t="n">
        <v>27.75</v>
      </c>
      <c r="E28" s="7" t="n">
        <v>0</v>
      </c>
      <c r="F28" s="7" t="n">
        <v>0</v>
      </c>
      <c r="G28" s="7" t="n">
        <v>0</v>
      </c>
      <c r="H28" s="7" t="n">
        <v>27.75</v>
      </c>
      <c r="I28" s="7" t="n">
        <v>0</v>
      </c>
      <c r="J28" s="7" t="n">
        <v>27.75</v>
      </c>
      <c r="K28" s="7" t="n">
        <v>3.35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7" t="n">
        <v>15.25</v>
      </c>
      <c r="E30" s="7" t="n">
        <v>0</v>
      </c>
      <c r="F30" s="7" t="n">
        <v>0</v>
      </c>
      <c r="G30" s="7" t="n">
        <v>0</v>
      </c>
      <c r="H30" s="7" t="n">
        <v>15.25</v>
      </c>
      <c r="I30" s="7" t="n">
        <v>0</v>
      </c>
      <c r="J30" s="7" t="n">
        <v>15.25</v>
      </c>
      <c r="K30" s="7" t="n">
        <v>1.84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7" t="n">
        <v>32.5</v>
      </c>
      <c r="E32" s="7" t="n">
        <v>0</v>
      </c>
      <c r="F32" s="7" t="n">
        <v>0</v>
      </c>
      <c r="G32" s="7" t="n">
        <v>0</v>
      </c>
      <c r="H32" s="7" t="n">
        <v>32.5</v>
      </c>
      <c r="I32" s="7" t="n">
        <v>0</v>
      </c>
      <c r="J32" s="7" t="n">
        <v>32.5</v>
      </c>
      <c r="K32" s="7" t="n">
        <v>3.92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7" t="n">
        <v>19.75</v>
      </c>
      <c r="E33" s="7" t="n">
        <v>0</v>
      </c>
      <c r="F33" s="7" t="n">
        <v>0</v>
      </c>
      <c r="G33" s="7" t="n">
        <v>0</v>
      </c>
      <c r="H33" s="7" t="n">
        <v>19.75</v>
      </c>
      <c r="I33" s="7" t="n">
        <v>0</v>
      </c>
      <c r="J33" s="7" t="n">
        <v>19.75</v>
      </c>
      <c r="K33" s="7" t="n">
        <v>2.38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7" t="n">
        <v>10.75</v>
      </c>
      <c r="E37" s="7" t="n">
        <v>0</v>
      </c>
      <c r="F37" s="7" t="n">
        <v>0</v>
      </c>
      <c r="G37" s="7" t="n">
        <v>0</v>
      </c>
      <c r="H37" s="7" t="n">
        <v>10.75</v>
      </c>
      <c r="I37" s="7" t="n">
        <v>0</v>
      </c>
      <c r="J37" s="7" t="n">
        <v>10.75</v>
      </c>
      <c r="K37" s="7" t="n">
        <v>1.3</v>
      </c>
    </row>
    <row r="38">
      <c r="A38" s="6" t="inlineStr">
        <is>
          <t>PARSHOTAM PRADIPKUMAR EOLL</t>
        </is>
      </c>
      <c r="B38" s="6" t="inlineStr">
        <is>
          <t>A-EL PKNG HIGH_RISK</t>
        </is>
      </c>
      <c r="C38" s="7" t="n">
        <v>1426</v>
      </c>
      <c r="D38" s="7" t="n">
        <v>15</v>
      </c>
      <c r="E38" s="7" t="n">
        <v>0</v>
      </c>
      <c r="F38" s="7" t="n">
        <v>0</v>
      </c>
      <c r="G38" s="7" t="n">
        <v>0</v>
      </c>
      <c r="H38" s="7" t="n">
        <v>15</v>
      </c>
      <c r="I38" s="7" t="n">
        <v>0</v>
      </c>
      <c r="J38" s="7" t="n">
        <v>15</v>
      </c>
      <c r="K38" s="7" t="n">
        <v>1.81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7" t="n">
        <v>27.5</v>
      </c>
      <c r="E39" s="7" t="n">
        <v>0</v>
      </c>
      <c r="F39" s="7" t="n">
        <v>0</v>
      </c>
      <c r="G39" s="7" t="n">
        <v>0</v>
      </c>
      <c r="H39" s="7" t="n">
        <v>27.5</v>
      </c>
      <c r="I39" s="7" t="n">
        <v>0</v>
      </c>
      <c r="J39" s="7" t="n">
        <v>27.5</v>
      </c>
      <c r="K39" s="7" t="n">
        <v>3.32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7" t="n">
        <v>19.5</v>
      </c>
      <c r="E44" s="7" t="n">
        <v>0</v>
      </c>
      <c r="F44" s="7" t="n">
        <v>0</v>
      </c>
      <c r="G44" s="7" t="n">
        <v>0</v>
      </c>
      <c r="H44" s="7" t="n">
        <v>19.5</v>
      </c>
      <c r="I44" s="7" t="n">
        <v>0</v>
      </c>
      <c r="J44" s="7" t="n">
        <v>19.5</v>
      </c>
      <c r="K44" s="7" t="n">
        <v>2.35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7" t="n">
        <v>22.75</v>
      </c>
      <c r="E45" s="7" t="n">
        <v>0</v>
      </c>
      <c r="F45" s="7" t="n">
        <v>0</v>
      </c>
      <c r="G45" s="7" t="n">
        <v>0</v>
      </c>
      <c r="H45" s="7" t="n">
        <v>22.75</v>
      </c>
      <c r="I45" s="7" t="n">
        <v>0</v>
      </c>
      <c r="J45" s="7" t="n">
        <v>22.75</v>
      </c>
      <c r="K45" s="7" t="n">
        <v>2.75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7" t="n">
        <v>31.75</v>
      </c>
      <c r="E46" s="7" t="n">
        <v>6.75</v>
      </c>
      <c r="F46" s="7" t="n">
        <v>0</v>
      </c>
      <c r="G46" s="7" t="n">
        <v>0</v>
      </c>
      <c r="H46" s="7" t="n">
        <v>38.5</v>
      </c>
      <c r="I46" s="7" t="n">
        <v>0</v>
      </c>
      <c r="J46" s="7" t="n">
        <v>38.5</v>
      </c>
      <c r="K46" s="7" t="n">
        <v>4.65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7" t="n">
        <v>7.5</v>
      </c>
      <c r="E48" s="7" t="n">
        <v>0</v>
      </c>
      <c r="F48" s="7" t="n">
        <v>0</v>
      </c>
      <c r="G48" s="7" t="n">
        <v>0</v>
      </c>
      <c r="H48" s="7" t="n">
        <v>7.5</v>
      </c>
      <c r="I48" s="7" t="n">
        <v>0</v>
      </c>
      <c r="J48" s="7" t="n">
        <v>7.5</v>
      </c>
      <c r="K48" s="7" t="n">
        <v>0.91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7" t="n">
        <v>31.75</v>
      </c>
      <c r="E51" s="7" t="n">
        <v>0</v>
      </c>
      <c r="F51" s="7" t="n">
        <v>0</v>
      </c>
      <c r="G51" s="7" t="n">
        <v>0</v>
      </c>
      <c r="H51" s="7" t="n">
        <v>31.75</v>
      </c>
      <c r="I51" s="7" t="n">
        <v>0</v>
      </c>
      <c r="J51" s="7" t="n">
        <v>31.75</v>
      </c>
      <c r="K51" s="7" t="n">
        <v>3.83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7" t="n">
        <v>30.75</v>
      </c>
      <c r="E52" s="7" t="n">
        <v>0</v>
      </c>
      <c r="F52" s="7" t="n">
        <v>0</v>
      </c>
      <c r="G52" s="7" t="n">
        <v>0</v>
      </c>
      <c r="H52" s="7" t="n">
        <v>30.75</v>
      </c>
      <c r="I52" s="7" t="n">
        <v>0</v>
      </c>
      <c r="J52" s="7" t="n">
        <v>30.75</v>
      </c>
      <c r="K52" s="7" t="n">
        <v>3.71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7" t="n">
        <v>7.5</v>
      </c>
      <c r="E53" s="7" t="n">
        <v>0</v>
      </c>
      <c r="F53" s="7" t="n">
        <v>0</v>
      </c>
      <c r="G53" s="7" t="n">
        <v>0</v>
      </c>
      <c r="H53" s="7" t="n">
        <v>7.5</v>
      </c>
      <c r="I53" s="7" t="n">
        <v>0</v>
      </c>
      <c r="J53" s="7" t="n">
        <v>7.5</v>
      </c>
      <c r="K53" s="7" t="n">
        <v>0.91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7" t="n">
        <v>8.25</v>
      </c>
      <c r="E54" s="7" t="n">
        <v>0</v>
      </c>
      <c r="F54" s="7" t="n">
        <v>0</v>
      </c>
      <c r="G54" s="7" t="n">
        <v>0</v>
      </c>
      <c r="H54" s="7" t="n">
        <v>8.25</v>
      </c>
      <c r="I54" s="7" t="n">
        <v>0</v>
      </c>
      <c r="J54" s="7" t="n">
        <v>8.25</v>
      </c>
      <c r="K54" s="7" t="n">
        <v>1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7" t="n">
        <v>22.5</v>
      </c>
      <c r="E55" s="7" t="n">
        <v>0</v>
      </c>
      <c r="F55" s="7" t="n">
        <v>0</v>
      </c>
      <c r="G55" s="7" t="n">
        <v>0</v>
      </c>
      <c r="H55" s="7" t="n">
        <v>22.5</v>
      </c>
      <c r="I55" s="7" t="n">
        <v>0</v>
      </c>
      <c r="J55" s="7" t="n">
        <v>22.5</v>
      </c>
      <c r="K55" s="7" t="n">
        <v>2.72</v>
      </c>
    </row>
    <row r="56">
      <c r="A56" s="6" t="inlineStr">
        <is>
          <t>ANGELO VAZ EOLL</t>
        </is>
      </c>
      <c r="B56" s="6" t="inlineStr">
        <is>
          <t>A-EL PKNG SLEEVING</t>
        </is>
      </c>
      <c r="C56" s="7" t="n">
        <v>1524</v>
      </c>
      <c r="D56" s="7" t="n">
        <v>8</v>
      </c>
      <c r="E56" s="7" t="n">
        <v>0</v>
      </c>
      <c r="F56" s="7" t="n">
        <v>0</v>
      </c>
      <c r="G56" s="7" t="n">
        <v>0</v>
      </c>
      <c r="H56" s="7" t="n">
        <v>8</v>
      </c>
      <c r="I56" s="7" t="n">
        <v>0</v>
      </c>
      <c r="J56" s="7" t="n">
        <v>8</v>
      </c>
      <c r="K56" s="7" t="n">
        <v>0.97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7" t="n">
        <v>31.75</v>
      </c>
      <c r="E60" s="7" t="n">
        <v>0</v>
      </c>
      <c r="F60" s="7" t="n">
        <v>0</v>
      </c>
      <c r="G60" s="7" t="n">
        <v>0</v>
      </c>
      <c r="H60" s="7" t="n">
        <v>31.75</v>
      </c>
      <c r="I60" s="7" t="n">
        <v>0</v>
      </c>
      <c r="J60" s="7" t="n">
        <v>31.75</v>
      </c>
      <c r="K60" s="7" t="n">
        <v>3.83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7" t="n">
        <v>20</v>
      </c>
      <c r="E61" s="7" t="n">
        <v>0</v>
      </c>
      <c r="F61" s="7" t="n">
        <v>0</v>
      </c>
      <c r="G61" s="7" t="n">
        <v>0</v>
      </c>
      <c r="H61" s="7" t="n">
        <v>20</v>
      </c>
      <c r="I61" s="7" t="n">
        <v>0</v>
      </c>
      <c r="J61" s="7" t="n">
        <v>20</v>
      </c>
      <c r="K61" s="7" t="n">
        <v>2.41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7" t="n">
        <v>7.75</v>
      </c>
      <c r="E62" s="7" t="n">
        <v>0</v>
      </c>
      <c r="F62" s="7" t="n">
        <v>0</v>
      </c>
      <c r="G62" s="7" t="n">
        <v>0</v>
      </c>
      <c r="H62" s="7" t="n">
        <v>7.75</v>
      </c>
      <c r="I62" s="7" t="n">
        <v>0</v>
      </c>
      <c r="J62" s="7" t="n">
        <v>7.75</v>
      </c>
      <c r="K62" s="7" t="n">
        <v>0.9399999999999999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7" t="n">
        <v>7.25</v>
      </c>
      <c r="E65" s="7" t="n">
        <v>0</v>
      </c>
      <c r="F65" s="7" t="n">
        <v>0</v>
      </c>
      <c r="G65" s="7" t="n">
        <v>0</v>
      </c>
      <c r="H65" s="7" t="n">
        <v>7.25</v>
      </c>
      <c r="I65" s="7" t="n">
        <v>0</v>
      </c>
      <c r="J65" s="7" t="n">
        <v>7.25</v>
      </c>
      <c r="K65" s="7" t="n">
        <v>0.88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7" t="n">
        <v>6.75</v>
      </c>
      <c r="E67" s="7" t="n">
        <v>0</v>
      </c>
      <c r="F67" s="7" t="n">
        <v>0</v>
      </c>
      <c r="G67" s="7" t="n">
        <v>0</v>
      </c>
      <c r="H67" s="7" t="n">
        <v>6.75</v>
      </c>
      <c r="I67" s="7" t="n">
        <v>0</v>
      </c>
      <c r="J67" s="7" t="n">
        <v>6.75</v>
      </c>
      <c r="K67" s="7" t="n">
        <v>0.8100000000000001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7" t="n">
        <v>7.5</v>
      </c>
      <c r="E70" s="7" t="n">
        <v>0</v>
      </c>
      <c r="F70" s="7" t="n">
        <v>0</v>
      </c>
      <c r="G70" s="7" t="n">
        <v>0</v>
      </c>
      <c r="H70" s="7" t="n">
        <v>7.5</v>
      </c>
      <c r="I70" s="7" t="n">
        <v>0</v>
      </c>
      <c r="J70" s="7" t="n">
        <v>7.5</v>
      </c>
      <c r="K70" s="7" t="n">
        <v>0.91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7" t="n">
        <v>26.5</v>
      </c>
      <c r="E71" s="7" t="n">
        <v>0</v>
      </c>
      <c r="F71" s="7" t="n">
        <v>0</v>
      </c>
      <c r="G71" s="7" t="n">
        <v>0</v>
      </c>
      <c r="H71" s="7" t="n">
        <v>26.5</v>
      </c>
      <c r="I71" s="7" t="n">
        <v>0</v>
      </c>
      <c r="J71" s="7" t="n">
        <v>26.5</v>
      </c>
      <c r="K71" s="7" t="n">
        <v>3.2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7" t="n">
        <v>25.5</v>
      </c>
      <c r="E72" s="7" t="n">
        <v>0</v>
      </c>
      <c r="F72" s="7" t="n">
        <v>0</v>
      </c>
      <c r="G72" s="7" t="n">
        <v>0</v>
      </c>
      <c r="H72" s="7" t="n">
        <v>25.5</v>
      </c>
      <c r="I72" s="7" t="n">
        <v>0</v>
      </c>
      <c r="J72" s="7" t="n">
        <v>25.5</v>
      </c>
      <c r="K72" s="7" t="n">
        <v>3.08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7" t="n">
        <v>29</v>
      </c>
      <c r="E73" s="7" t="n">
        <v>0</v>
      </c>
      <c r="F73" s="7" t="n">
        <v>0</v>
      </c>
      <c r="G73" s="7" t="n">
        <v>0</v>
      </c>
      <c r="H73" s="7" t="n">
        <v>29</v>
      </c>
      <c r="I73" s="7" t="n">
        <v>0</v>
      </c>
      <c r="J73" s="7" t="n">
        <v>29</v>
      </c>
      <c r="K73" s="7" t="n">
        <v>3.5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7" t="n">
        <v>26.5</v>
      </c>
      <c r="E76" s="7" t="n">
        <v>0</v>
      </c>
      <c r="F76" s="7" t="n">
        <v>0</v>
      </c>
      <c r="G76" s="7" t="n">
        <v>0</v>
      </c>
      <c r="H76" s="7" t="n">
        <v>26.5</v>
      </c>
      <c r="I76" s="7" t="n">
        <v>0</v>
      </c>
      <c r="J76" s="7" t="n">
        <v>26.5</v>
      </c>
      <c r="K76" s="7" t="n">
        <v>3.2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7" t="n">
        <v>26.5</v>
      </c>
      <c r="E77" s="7" t="n">
        <v>0</v>
      </c>
      <c r="F77" s="7" t="n">
        <v>0</v>
      </c>
      <c r="G77" s="7" t="n">
        <v>0</v>
      </c>
      <c r="H77" s="7" t="n">
        <v>26.5</v>
      </c>
      <c r="I77" s="7" t="n">
        <v>0</v>
      </c>
      <c r="J77" s="7" t="n">
        <v>26.5</v>
      </c>
      <c r="K77" s="7" t="n">
        <v>3.2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7" t="n">
        <v>26.5</v>
      </c>
      <c r="E78" s="7" t="n">
        <v>0</v>
      </c>
      <c r="F78" s="7" t="n">
        <v>0</v>
      </c>
      <c r="G78" s="7" t="n">
        <v>0</v>
      </c>
      <c r="H78" s="7" t="n">
        <v>26.5</v>
      </c>
      <c r="I78" s="7" t="n">
        <v>0</v>
      </c>
      <c r="J78" s="7" t="n">
        <v>26.5</v>
      </c>
      <c r="K78" s="7" t="n">
        <v>3.2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7" t="n">
        <v>28.5</v>
      </c>
      <c r="E79" s="7" t="n">
        <v>0</v>
      </c>
      <c r="F79" s="7" t="n">
        <v>0</v>
      </c>
      <c r="G79" s="7" t="n">
        <v>0</v>
      </c>
      <c r="H79" s="7" t="n">
        <v>28.5</v>
      </c>
      <c r="I79" s="7" t="n">
        <v>0</v>
      </c>
      <c r="J79" s="7" t="n">
        <v>28.5</v>
      </c>
      <c r="K79" s="7" t="n">
        <v>3.44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7" t="n">
        <v>29</v>
      </c>
      <c r="E83" s="7" t="n">
        <v>0</v>
      </c>
      <c r="F83" s="7" t="n">
        <v>0</v>
      </c>
      <c r="G83" s="7" t="n">
        <v>0</v>
      </c>
      <c r="H83" s="7" t="n">
        <v>29</v>
      </c>
      <c r="I83" s="7" t="n">
        <v>0</v>
      </c>
      <c r="J83" s="7" t="n">
        <v>29</v>
      </c>
      <c r="K83" s="7" t="n">
        <v>3.5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7" t="n">
        <v>29.5</v>
      </c>
      <c r="E85" s="7" t="n">
        <v>0</v>
      </c>
      <c r="F85" s="7" t="n">
        <v>0</v>
      </c>
      <c r="G85" s="7" t="n">
        <v>0</v>
      </c>
      <c r="H85" s="7" t="n">
        <v>29.5</v>
      </c>
      <c r="I85" s="7" t="n">
        <v>0</v>
      </c>
      <c r="J85" s="7" t="n">
        <v>29.5</v>
      </c>
      <c r="K85" s="7" t="n">
        <v>3.56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7" t="n">
        <v>29.5</v>
      </c>
      <c r="E86" s="7" t="n">
        <v>0</v>
      </c>
      <c r="F86" s="7" t="n">
        <v>0</v>
      </c>
      <c r="G86" s="7" t="n">
        <v>0</v>
      </c>
      <c r="H86" s="7" t="n">
        <v>29.5</v>
      </c>
      <c r="I86" s="7" t="n">
        <v>0</v>
      </c>
      <c r="J86" s="7" t="n">
        <v>29.5</v>
      </c>
      <c r="K86" s="7" t="n">
        <v>3.56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7" t="n">
        <v>28.5</v>
      </c>
      <c r="E87" s="7" t="n">
        <v>0</v>
      </c>
      <c r="F87" s="7" t="n">
        <v>0</v>
      </c>
      <c r="G87" s="7" t="n">
        <v>0</v>
      </c>
      <c r="H87" s="7" t="n">
        <v>28.5</v>
      </c>
      <c r="I87" s="7" t="n">
        <v>0</v>
      </c>
      <c r="J87" s="7" t="n">
        <v>28.5</v>
      </c>
      <c r="K87" s="7" t="n">
        <v>3.44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7" t="n">
        <v>26.5</v>
      </c>
      <c r="E90" s="7" t="n">
        <v>0</v>
      </c>
      <c r="F90" s="7" t="n">
        <v>0</v>
      </c>
      <c r="G90" s="7" t="n">
        <v>0</v>
      </c>
      <c r="H90" s="7" t="n">
        <v>26.5</v>
      </c>
      <c r="I90" s="7" t="n">
        <v>0</v>
      </c>
      <c r="J90" s="7" t="n">
        <v>26.5</v>
      </c>
      <c r="K90" s="7" t="n">
        <v>3.2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7" t="n">
        <v>26.5</v>
      </c>
      <c r="E93" s="7" t="n">
        <v>0</v>
      </c>
      <c r="F93" s="7" t="n">
        <v>0</v>
      </c>
      <c r="G93" s="7" t="n">
        <v>0</v>
      </c>
      <c r="H93" s="7" t="n">
        <v>26.5</v>
      </c>
      <c r="I93" s="7" t="n">
        <v>0</v>
      </c>
      <c r="J93" s="7" t="n">
        <v>26.5</v>
      </c>
      <c r="K93" s="7" t="n">
        <v>3.2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7" t="n">
        <v>28.5</v>
      </c>
      <c r="E94" s="7" t="n">
        <v>0</v>
      </c>
      <c r="F94" s="7" t="n">
        <v>0</v>
      </c>
      <c r="G94" s="7" t="n">
        <v>0</v>
      </c>
      <c r="H94" s="7" t="n">
        <v>28.5</v>
      </c>
      <c r="I94" s="7" t="n">
        <v>0</v>
      </c>
      <c r="J94" s="7" t="n">
        <v>28.5</v>
      </c>
      <c r="K94" s="7" t="n">
        <v>3.44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7" t="n">
        <v>26.5</v>
      </c>
      <c r="E95" s="7" t="n">
        <v>0</v>
      </c>
      <c r="F95" s="7" t="n">
        <v>0</v>
      </c>
      <c r="G95" s="7" t="n">
        <v>0</v>
      </c>
      <c r="H95" s="7" t="n">
        <v>26.5</v>
      </c>
      <c r="I95" s="7" t="n">
        <v>0</v>
      </c>
      <c r="J95" s="7" t="n">
        <v>26.5</v>
      </c>
      <c r="K95" s="7" t="n">
        <v>3.2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7" t="n">
        <v>19</v>
      </c>
      <c r="E96" s="7" t="n">
        <v>0</v>
      </c>
      <c r="F96" s="7" t="n">
        <v>0</v>
      </c>
      <c r="G96" s="7" t="n">
        <v>0</v>
      </c>
      <c r="H96" s="7" t="n">
        <v>19</v>
      </c>
      <c r="I96" s="7" t="n">
        <v>0</v>
      </c>
      <c r="J96" s="7" t="n">
        <v>19</v>
      </c>
      <c r="K96" s="7" t="n">
        <v>2.29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7" t="n">
        <v>26.75</v>
      </c>
      <c r="E97" s="7" t="n">
        <v>0</v>
      </c>
      <c r="F97" s="7" t="n">
        <v>0</v>
      </c>
      <c r="G97" s="7" t="n">
        <v>0</v>
      </c>
      <c r="H97" s="7" t="n">
        <v>26.75</v>
      </c>
      <c r="I97" s="7" t="n">
        <v>0</v>
      </c>
      <c r="J97" s="7" t="n">
        <v>26.75</v>
      </c>
      <c r="K97" s="7" t="n">
        <v>3.23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7" t="n">
        <v>28.5</v>
      </c>
      <c r="E98" s="7" t="n">
        <v>0</v>
      </c>
      <c r="F98" s="7" t="n">
        <v>0</v>
      </c>
      <c r="G98" s="7" t="n">
        <v>0</v>
      </c>
      <c r="H98" s="7" t="n">
        <v>28.5</v>
      </c>
      <c r="I98" s="7" t="n">
        <v>0</v>
      </c>
      <c r="J98" s="7" t="n">
        <v>28.5</v>
      </c>
      <c r="K98" s="7" t="n">
        <v>3.44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7" t="n">
        <v>36.5</v>
      </c>
      <c r="E99" s="7" t="n">
        <v>2.75</v>
      </c>
      <c r="F99" s="7" t="n">
        <v>0</v>
      </c>
      <c r="G99" s="7" t="n">
        <v>0</v>
      </c>
      <c r="H99" s="7" t="n">
        <v>39.25</v>
      </c>
      <c r="I99" s="7" t="n">
        <v>0</v>
      </c>
      <c r="J99" s="7" t="n">
        <v>39.25</v>
      </c>
      <c r="K99" s="7" t="n">
        <v>4.74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7" t="n">
        <v>34</v>
      </c>
      <c r="E101" s="7" t="n">
        <v>0</v>
      </c>
      <c r="F101" s="7" t="n">
        <v>0</v>
      </c>
      <c r="G101" s="7" t="n">
        <v>0</v>
      </c>
      <c r="H101" s="7" t="n">
        <v>34</v>
      </c>
      <c r="I101" s="7" t="n">
        <v>0</v>
      </c>
      <c r="J101" s="7" t="n">
        <v>34</v>
      </c>
      <c r="K101" s="7" t="n">
        <v>4.1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7" t="n">
        <v>32</v>
      </c>
      <c r="E102" s="7" t="n">
        <v>0</v>
      </c>
      <c r="F102" s="7" t="n">
        <v>0</v>
      </c>
      <c r="G102" s="7" t="n">
        <v>0</v>
      </c>
      <c r="H102" s="7" t="n">
        <v>32</v>
      </c>
      <c r="I102" s="7" t="n">
        <v>0</v>
      </c>
      <c r="J102" s="7" t="n">
        <v>32</v>
      </c>
      <c r="K102" s="7" t="n">
        <v>3.86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7" t="n">
        <v>36.25</v>
      </c>
      <c r="E104" s="7" t="n">
        <v>0</v>
      </c>
      <c r="F104" s="7" t="n">
        <v>0</v>
      </c>
      <c r="G104" s="7" t="n">
        <v>0</v>
      </c>
      <c r="H104" s="7" t="n">
        <v>36.25</v>
      </c>
      <c r="I104" s="7" t="n">
        <v>0</v>
      </c>
      <c r="J104" s="7" t="n">
        <v>36.25</v>
      </c>
      <c r="K104" s="7" t="n">
        <v>4.38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7" t="n">
        <v>31</v>
      </c>
      <c r="E105" s="7" t="n">
        <v>3</v>
      </c>
      <c r="F105" s="7" t="n">
        <v>0</v>
      </c>
      <c r="G105" s="7" t="n">
        <v>0</v>
      </c>
      <c r="H105" s="7" t="n">
        <v>34</v>
      </c>
      <c r="I105" s="7" t="n">
        <v>0</v>
      </c>
      <c r="J105" s="7" t="n">
        <v>34</v>
      </c>
      <c r="K105" s="7" t="n">
        <v>4.1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7" t="n">
        <v>26.5</v>
      </c>
      <c r="E106" s="7" t="n">
        <v>0</v>
      </c>
      <c r="F106" s="7" t="n">
        <v>0</v>
      </c>
      <c r="G106" s="7" t="n">
        <v>0</v>
      </c>
      <c r="H106" s="7" t="n">
        <v>26.5</v>
      </c>
      <c r="I106" s="7" t="n">
        <v>0</v>
      </c>
      <c r="J106" s="7" t="n">
        <v>26.5</v>
      </c>
      <c r="K106" s="7" t="n">
        <v>3.2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7" t="n">
        <v>38</v>
      </c>
      <c r="E107" s="7" t="n">
        <v>0</v>
      </c>
      <c r="F107" s="7" t="n">
        <v>0</v>
      </c>
      <c r="G107" s="7" t="n">
        <v>0</v>
      </c>
      <c r="H107" s="7" t="n">
        <v>38</v>
      </c>
      <c r="I107" s="7" t="n">
        <v>0</v>
      </c>
      <c r="J107" s="7" t="n">
        <v>38</v>
      </c>
      <c r="K107" s="7" t="n">
        <v>4.59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7" t="n">
        <v>33.75</v>
      </c>
      <c r="E108" s="7" t="n">
        <v>0</v>
      </c>
      <c r="F108" s="7" t="n">
        <v>0</v>
      </c>
      <c r="G108" s="7" t="n">
        <v>0</v>
      </c>
      <c r="H108" s="7" t="n">
        <v>33.75</v>
      </c>
      <c r="I108" s="7" t="n">
        <v>0</v>
      </c>
      <c r="J108" s="7" t="n">
        <v>33.75</v>
      </c>
      <c r="K108" s="7" t="n">
        <v>4.07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7" t="n">
        <v>37.25</v>
      </c>
      <c r="E109" s="7" t="n">
        <v>0</v>
      </c>
      <c r="F109" s="7" t="n">
        <v>0</v>
      </c>
      <c r="G109" s="7" t="n">
        <v>0</v>
      </c>
      <c r="H109" s="7" t="n">
        <v>37.25</v>
      </c>
      <c r="I109" s="7" t="n">
        <v>0</v>
      </c>
      <c r="J109" s="7" t="n">
        <v>37.25</v>
      </c>
      <c r="K109" s="7" t="n">
        <v>4.5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7" t="n">
        <v>18.75</v>
      </c>
      <c r="E111" s="7" t="n">
        <v>0</v>
      </c>
      <c r="F111" s="7" t="n">
        <v>0</v>
      </c>
      <c r="G111" s="7" t="n">
        <v>0</v>
      </c>
      <c r="H111" s="7" t="n">
        <v>18.75</v>
      </c>
      <c r="I111" s="7" t="n">
        <v>0</v>
      </c>
      <c r="J111" s="7" t="n">
        <v>18.75</v>
      </c>
      <c r="K111" s="7" t="n">
        <v>2.26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7" t="n">
        <v>38.25</v>
      </c>
      <c r="E112" s="7" t="n">
        <v>0</v>
      </c>
      <c r="F112" s="7" t="n">
        <v>0</v>
      </c>
      <c r="G112" s="7" t="n">
        <v>0</v>
      </c>
      <c r="H112" s="7" t="n">
        <v>38.25</v>
      </c>
      <c r="I112" s="7" t="n">
        <v>0</v>
      </c>
      <c r="J112" s="7" t="n">
        <v>38.25</v>
      </c>
      <c r="K112" s="7" t="n">
        <v>4.62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7" t="n">
        <v>28</v>
      </c>
      <c r="E113" s="7" t="n">
        <v>0</v>
      </c>
      <c r="F113" s="7" t="n">
        <v>0</v>
      </c>
      <c r="G113" s="7" t="n">
        <v>0</v>
      </c>
      <c r="H113" s="7" t="n">
        <v>28</v>
      </c>
      <c r="I113" s="7" t="n">
        <v>0</v>
      </c>
      <c r="J113" s="7" t="n">
        <v>28</v>
      </c>
      <c r="K113" s="7" t="n">
        <v>3.38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7" t="n">
        <v>37.5</v>
      </c>
      <c r="E114" s="7" t="n">
        <v>0</v>
      </c>
      <c r="F114" s="7" t="n">
        <v>0</v>
      </c>
      <c r="G114" s="7" t="n">
        <v>0</v>
      </c>
      <c r="H114" s="7" t="n">
        <v>37.5</v>
      </c>
      <c r="I114" s="7" t="n">
        <v>0</v>
      </c>
      <c r="J114" s="7" t="n">
        <v>37.5</v>
      </c>
      <c r="K114" s="7" t="n">
        <v>4.53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7" t="n">
        <v>32.25</v>
      </c>
      <c r="E115" s="7" t="n">
        <v>0</v>
      </c>
      <c r="F115" s="7" t="n">
        <v>0</v>
      </c>
      <c r="G115" s="7" t="n">
        <v>0</v>
      </c>
      <c r="H115" s="7" t="n">
        <v>32.25</v>
      </c>
      <c r="I115" s="7" t="n">
        <v>0</v>
      </c>
      <c r="J115" s="7" t="n">
        <v>32.25</v>
      </c>
      <c r="K115" s="7" t="n">
        <v>3.89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7" t="n">
        <v>30.75</v>
      </c>
      <c r="E117" s="7" t="n">
        <v>0</v>
      </c>
      <c r="F117" s="7" t="n">
        <v>0</v>
      </c>
      <c r="G117" s="7" t="n">
        <v>0</v>
      </c>
      <c r="H117" s="7" t="n">
        <v>30.75</v>
      </c>
      <c r="I117" s="7" t="n">
        <v>0</v>
      </c>
      <c r="J117" s="7" t="n">
        <v>30.75</v>
      </c>
      <c r="K117" s="7" t="n">
        <v>3.71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7" t="n">
        <v>39.5</v>
      </c>
      <c r="E118" s="7" t="n">
        <v>7.75</v>
      </c>
      <c r="F118" s="7" t="n">
        <v>0</v>
      </c>
      <c r="G118" s="7" t="n">
        <v>0</v>
      </c>
      <c r="H118" s="7" t="n">
        <v>47.25</v>
      </c>
      <c r="I118" s="7" t="n">
        <v>0</v>
      </c>
      <c r="J118" s="7" t="n">
        <v>47.25</v>
      </c>
      <c r="K118" s="7" t="n">
        <v>5.7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7" t="n">
        <v>32.25</v>
      </c>
      <c r="E120" s="7" t="n">
        <v>0</v>
      </c>
      <c r="F120" s="7" t="n">
        <v>0</v>
      </c>
      <c r="G120" s="7" t="n">
        <v>0</v>
      </c>
      <c r="H120" s="7" t="n">
        <v>32.25</v>
      </c>
      <c r="I120" s="7" t="n">
        <v>0</v>
      </c>
      <c r="J120" s="7" t="n">
        <v>32.25</v>
      </c>
      <c r="K120" s="7" t="n">
        <v>3.89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7" t="n">
        <v>26.5</v>
      </c>
      <c r="E123" s="7" t="n">
        <v>0</v>
      </c>
      <c r="F123" s="7" t="n">
        <v>0</v>
      </c>
      <c r="G123" s="7" t="n">
        <v>0</v>
      </c>
      <c r="H123" s="7" t="n">
        <v>26.5</v>
      </c>
      <c r="I123" s="7" t="n">
        <v>0</v>
      </c>
      <c r="J123" s="7" t="n">
        <v>26.5</v>
      </c>
      <c r="K123" s="7" t="n">
        <v>3.2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7" t="n">
        <v>26.5</v>
      </c>
      <c r="E124" s="7" t="n">
        <v>0</v>
      </c>
      <c r="F124" s="7" t="n">
        <v>0</v>
      </c>
      <c r="G124" s="7" t="n">
        <v>0</v>
      </c>
      <c r="H124" s="7" t="n">
        <v>26.5</v>
      </c>
      <c r="I124" s="7" t="n">
        <v>0</v>
      </c>
      <c r="J124" s="7" t="n">
        <v>26.5</v>
      </c>
      <c r="K124" s="7" t="n">
        <v>3.2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7" t="n">
        <v>33.25</v>
      </c>
      <c r="E125" s="7" t="n">
        <v>1.75</v>
      </c>
      <c r="F125" s="7" t="n">
        <v>0</v>
      </c>
      <c r="G125" s="7" t="n">
        <v>8</v>
      </c>
      <c r="H125" s="7" t="n">
        <v>43</v>
      </c>
      <c r="I125" s="7" t="n">
        <v>0</v>
      </c>
      <c r="J125" s="7" t="n">
        <v>43</v>
      </c>
      <c r="K125" s="7" t="n">
        <v>5.19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7" t="n">
        <v>33.25</v>
      </c>
      <c r="E126" s="7" t="n">
        <v>13</v>
      </c>
      <c r="F126" s="7" t="n">
        <v>0</v>
      </c>
      <c r="G126" s="7" t="n">
        <v>8</v>
      </c>
      <c r="H126" s="7" t="n">
        <v>54.25</v>
      </c>
      <c r="I126" s="7" t="n">
        <v>0</v>
      </c>
      <c r="J126" s="7" t="n">
        <v>54.25</v>
      </c>
      <c r="K126" s="7" t="n">
        <v>6.55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7" t="n">
        <v>32.25</v>
      </c>
      <c r="E127" s="7" t="n">
        <v>0</v>
      </c>
      <c r="F127" s="7" t="n">
        <v>0</v>
      </c>
      <c r="G127" s="7" t="n">
        <v>8</v>
      </c>
      <c r="H127" s="7" t="n">
        <v>40.25</v>
      </c>
      <c r="I127" s="7" t="n">
        <v>0</v>
      </c>
      <c r="J127" s="7" t="n">
        <v>40.25</v>
      </c>
      <c r="K127" s="7" t="n">
        <v>4.86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7" t="n">
        <v>33.25</v>
      </c>
      <c r="E128" s="7" t="n">
        <v>6</v>
      </c>
      <c r="F128" s="7" t="n">
        <v>0</v>
      </c>
      <c r="G128" s="7" t="n">
        <v>8</v>
      </c>
      <c r="H128" s="7" t="n">
        <v>47.25</v>
      </c>
      <c r="I128" s="7" t="n">
        <v>0</v>
      </c>
      <c r="J128" s="7" t="n">
        <v>47.25</v>
      </c>
      <c r="K128" s="7" t="n">
        <v>5.7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7" t="n">
        <v>0</v>
      </c>
      <c r="E129" s="7" t="n">
        <v>9.25</v>
      </c>
      <c r="F129" s="7" t="n">
        <v>8.5</v>
      </c>
      <c r="G129" s="7" t="n">
        <v>8</v>
      </c>
      <c r="H129" s="7" t="n">
        <v>25.75</v>
      </c>
      <c r="I129" s="7" t="n">
        <v>16</v>
      </c>
      <c r="J129" s="7" t="n">
        <v>9.75</v>
      </c>
      <c r="K129" s="7" t="n">
        <v>1.18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7" t="n">
        <v>33.25</v>
      </c>
      <c r="E130" s="7" t="n">
        <v>11.75</v>
      </c>
      <c r="F130" s="7" t="n">
        <v>0</v>
      </c>
      <c r="G130" s="7" t="n">
        <v>8</v>
      </c>
      <c r="H130" s="7" t="n">
        <v>53</v>
      </c>
      <c r="I130" s="7" t="n">
        <v>0</v>
      </c>
      <c r="J130" s="7" t="n">
        <v>53</v>
      </c>
      <c r="K130" s="7" t="n">
        <v>6.4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7" t="n">
        <v>33.25</v>
      </c>
      <c r="E131" s="7" t="n">
        <v>32.25</v>
      </c>
      <c r="F131" s="7" t="n">
        <v>0</v>
      </c>
      <c r="G131" s="7" t="n">
        <v>8</v>
      </c>
      <c r="H131" s="7" t="n">
        <v>73.5</v>
      </c>
      <c r="I131" s="7" t="n">
        <v>0</v>
      </c>
      <c r="J131" s="7" t="n">
        <v>73.5</v>
      </c>
      <c r="K131" s="7" t="n">
        <v>8.869999999999999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7" t="n">
        <v>16</v>
      </c>
      <c r="E132" s="7" t="n">
        <v>0</v>
      </c>
      <c r="F132" s="7" t="n">
        <v>0</v>
      </c>
      <c r="G132" s="7" t="n">
        <v>4</v>
      </c>
      <c r="H132" s="7" t="n">
        <v>20</v>
      </c>
      <c r="I132" s="7" t="n">
        <v>0</v>
      </c>
      <c r="J132" s="7" t="n">
        <v>20</v>
      </c>
      <c r="K132" s="7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7" t="n">
        <v>33.25</v>
      </c>
      <c r="E133" s="7" t="n">
        <v>16.25</v>
      </c>
      <c r="F133" s="7" t="n">
        <v>0</v>
      </c>
      <c r="G133" s="7" t="n">
        <v>8</v>
      </c>
      <c r="H133" s="7" t="n">
        <v>57.5</v>
      </c>
      <c r="I133" s="7" t="n">
        <v>0</v>
      </c>
      <c r="J133" s="7" t="n">
        <v>57.5</v>
      </c>
      <c r="K133" s="7" t="n">
        <v>6.94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7" t="n">
        <v>0</v>
      </c>
      <c r="E134" s="7" t="n">
        <v>8</v>
      </c>
      <c r="F134" s="7" t="n">
        <v>0</v>
      </c>
      <c r="G134" s="7" t="n">
        <v>4</v>
      </c>
      <c r="H134" s="7" t="n">
        <v>12</v>
      </c>
      <c r="I134" s="7" t="n">
        <v>0</v>
      </c>
      <c r="J134" s="7" t="n">
        <v>12</v>
      </c>
      <c r="K134" s="7" t="n">
        <v>1.45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7" t="n">
        <v>33.25</v>
      </c>
      <c r="E135" s="7" t="n">
        <v>12.75</v>
      </c>
      <c r="F135" s="7" t="n">
        <v>0</v>
      </c>
      <c r="G135" s="7" t="n">
        <v>8</v>
      </c>
      <c r="H135" s="7" t="n">
        <v>54</v>
      </c>
      <c r="I135" s="7" t="n">
        <v>0</v>
      </c>
      <c r="J135" s="7" t="n">
        <v>54</v>
      </c>
      <c r="K135" s="7" t="n">
        <v>6.52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7" t="n">
        <v>9</v>
      </c>
      <c r="E136" s="7" t="n">
        <v>0</v>
      </c>
      <c r="F136" s="7" t="n">
        <v>0</v>
      </c>
      <c r="G136" s="7" t="n">
        <v>8</v>
      </c>
      <c r="H136" s="7" t="n">
        <v>17</v>
      </c>
      <c r="I136" s="7" t="n">
        <v>0</v>
      </c>
      <c r="J136" s="7" t="n">
        <v>17</v>
      </c>
      <c r="K136" s="7" t="n">
        <v>2.05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7" t="n">
        <v>33.25</v>
      </c>
      <c r="E137" s="7" t="n">
        <v>4.5</v>
      </c>
      <c r="F137" s="7" t="n">
        <v>0</v>
      </c>
      <c r="G137" s="7" t="n">
        <v>8</v>
      </c>
      <c r="H137" s="7" t="n">
        <v>45.75</v>
      </c>
      <c r="I137" s="7" t="n">
        <v>40</v>
      </c>
      <c r="J137" s="7" t="n">
        <v>5.75</v>
      </c>
      <c r="K137" s="7" t="n">
        <v>0.6899999999999999</v>
      </c>
    </row>
    <row r="138">
      <c r="A138" s="6" t="inlineStr">
        <is>
          <t>LOURENCO PEREIRA</t>
        </is>
      </c>
      <c r="B138" s="6" t="inlineStr">
        <is>
          <t>OFCE</t>
        </is>
      </c>
      <c r="C138" s="7" t="n">
        <v>737</v>
      </c>
      <c r="D138" s="7" t="n">
        <v>10</v>
      </c>
      <c r="E138" s="7" t="n">
        <v>0</v>
      </c>
      <c r="F138" s="7" t="n">
        <v>0</v>
      </c>
      <c r="G138" s="7" t="n">
        <v>12</v>
      </c>
      <c r="H138" s="7" t="n">
        <v>22</v>
      </c>
      <c r="I138" s="7" t="n">
        <v>0</v>
      </c>
      <c r="J138" s="7" t="n">
        <v>22</v>
      </c>
      <c r="K138" s="7" t="n">
        <v>2.66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7" t="n">
        <v>33.25</v>
      </c>
      <c r="E139" s="7" t="n">
        <v>1.5</v>
      </c>
      <c r="F139" s="7" t="n">
        <v>0</v>
      </c>
      <c r="G139" s="7" t="n">
        <v>8</v>
      </c>
      <c r="H139" s="7" t="n">
        <v>42.75</v>
      </c>
      <c r="I139" s="7" t="n">
        <v>0</v>
      </c>
      <c r="J139" s="7" t="n">
        <v>42.75</v>
      </c>
      <c r="K139" s="7" t="n">
        <v>5.16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7" t="n">
        <v>29.5</v>
      </c>
      <c r="E140" s="7" t="n">
        <v>0</v>
      </c>
      <c r="F140" s="7" t="n">
        <v>0</v>
      </c>
      <c r="G140" s="7" t="n">
        <v>8</v>
      </c>
      <c r="H140" s="7" t="n">
        <v>37.5</v>
      </c>
      <c r="I140" s="7" t="n">
        <v>0</v>
      </c>
      <c r="J140" s="7" t="n">
        <v>37.5</v>
      </c>
      <c r="K140" s="7" t="n">
        <v>4.53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7" t="n">
        <v>33.25</v>
      </c>
      <c r="E141" s="7" t="n">
        <v>8</v>
      </c>
      <c r="F141" s="7" t="n">
        <v>0</v>
      </c>
      <c r="G141" s="7" t="n">
        <v>8</v>
      </c>
      <c r="H141" s="7" t="n">
        <v>49.25</v>
      </c>
      <c r="I141" s="7" t="n">
        <v>0</v>
      </c>
      <c r="J141" s="7" t="n">
        <v>49.25</v>
      </c>
      <c r="K141" s="7" t="n">
        <v>5.94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7" t="n">
        <v>33.25</v>
      </c>
      <c r="E142" s="7" t="n">
        <v>0.25</v>
      </c>
      <c r="F142" s="7" t="n">
        <v>0</v>
      </c>
      <c r="G142" s="7" t="n">
        <v>8</v>
      </c>
      <c r="H142" s="7" t="n">
        <v>41.5</v>
      </c>
      <c r="I142" s="7" t="n">
        <v>0</v>
      </c>
      <c r="J142" s="7" t="n">
        <v>41.5</v>
      </c>
      <c r="K142" s="7" t="n">
        <v>5.01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7" t="n">
        <v>33.25</v>
      </c>
      <c r="E143" s="7" t="n">
        <v>9</v>
      </c>
      <c r="F143" s="7" t="n">
        <v>0</v>
      </c>
      <c r="G143" s="7" t="n">
        <v>8</v>
      </c>
      <c r="H143" s="7" t="n">
        <v>50.25</v>
      </c>
      <c r="I143" s="7" t="n">
        <v>0</v>
      </c>
      <c r="J143" s="7" t="n">
        <v>50.25</v>
      </c>
      <c r="K143" s="7" t="n">
        <v>6.07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7" t="n">
        <v>25.25</v>
      </c>
      <c r="E144" s="7" t="n">
        <v>1.5</v>
      </c>
      <c r="F144" s="7" t="n">
        <v>0</v>
      </c>
      <c r="G144" s="7" t="n">
        <v>16</v>
      </c>
      <c r="H144" s="7" t="n">
        <v>42.75</v>
      </c>
      <c r="I144" s="7" t="n">
        <v>0</v>
      </c>
      <c r="J144" s="7" t="n">
        <v>42.75</v>
      </c>
      <c r="K144" s="7" t="n">
        <v>5.16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7" t="n">
        <v>33.25</v>
      </c>
      <c r="E145" s="7" t="n">
        <v>17.25</v>
      </c>
      <c r="F145" s="7" t="n">
        <v>0</v>
      </c>
      <c r="G145" s="7" t="n">
        <v>8</v>
      </c>
      <c r="H145" s="7" t="n">
        <v>58.5</v>
      </c>
      <c r="I145" s="7" t="n">
        <v>0</v>
      </c>
      <c r="J145" s="7" t="n">
        <v>58.5</v>
      </c>
      <c r="K145" s="7" t="n">
        <v>7.06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7" t="n">
        <v>33.25</v>
      </c>
      <c r="E146" s="7" t="n">
        <v>6.5</v>
      </c>
      <c r="F146" s="7" t="n">
        <v>0</v>
      </c>
      <c r="G146" s="7" t="n">
        <v>8</v>
      </c>
      <c r="H146" s="7" t="n">
        <v>47.75</v>
      </c>
      <c r="I146" s="7" t="n">
        <v>0</v>
      </c>
      <c r="J146" s="7" t="n">
        <v>47.75</v>
      </c>
      <c r="K146" s="7" t="n">
        <v>5.76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7" t="n">
        <v>33.25</v>
      </c>
      <c r="E147" s="7" t="n">
        <v>1.5</v>
      </c>
      <c r="F147" s="7" t="n">
        <v>0</v>
      </c>
      <c r="G147" s="7" t="n">
        <v>8</v>
      </c>
      <c r="H147" s="7" t="n">
        <v>42.75</v>
      </c>
      <c r="I147" s="7" t="n">
        <v>0</v>
      </c>
      <c r="J147" s="7" t="n">
        <v>42.75</v>
      </c>
      <c r="K147" s="7" t="n">
        <v>5.16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7" t="n">
        <v>33.25</v>
      </c>
      <c r="E148" s="7" t="n">
        <v>0</v>
      </c>
      <c r="F148" s="7" t="n">
        <v>0</v>
      </c>
      <c r="G148" s="7" t="n">
        <v>8</v>
      </c>
      <c r="H148" s="7" t="n">
        <v>41.25</v>
      </c>
      <c r="I148" s="7" t="n">
        <v>0</v>
      </c>
      <c r="J148" s="7" t="n">
        <v>41.25</v>
      </c>
      <c r="K148" s="7" t="n">
        <v>4.98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7" t="n">
        <v>32.75</v>
      </c>
      <c r="E149" s="7" t="n">
        <v>0</v>
      </c>
      <c r="F149" s="7" t="n">
        <v>0</v>
      </c>
      <c r="G149" s="7" t="n">
        <v>8</v>
      </c>
      <c r="H149" s="7" t="n">
        <v>40.75</v>
      </c>
      <c r="I149" s="7" t="n">
        <v>0</v>
      </c>
      <c r="J149" s="7" t="n">
        <v>40.75</v>
      </c>
      <c r="K149" s="7" t="n">
        <v>4.92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7" t="n">
        <v>29.75</v>
      </c>
      <c r="E150" s="7" t="n">
        <v>0</v>
      </c>
      <c r="F150" s="7" t="n">
        <v>0</v>
      </c>
      <c r="G150" s="7" t="n">
        <v>8</v>
      </c>
      <c r="H150" s="7" t="n">
        <v>37.75</v>
      </c>
      <c r="I150" s="7" t="n">
        <v>0</v>
      </c>
      <c r="J150" s="7" t="n">
        <v>37.75</v>
      </c>
      <c r="K150" s="7" t="n">
        <v>4.56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7" t="n">
        <v>33.25</v>
      </c>
      <c r="E151" s="7" t="n">
        <v>8</v>
      </c>
      <c r="F151" s="7" t="n">
        <v>0</v>
      </c>
      <c r="G151" s="7" t="n">
        <v>8</v>
      </c>
      <c r="H151" s="7" t="n">
        <v>49.25</v>
      </c>
      <c r="I151" s="7" t="n">
        <v>0</v>
      </c>
      <c r="J151" s="7" t="n">
        <v>49.25</v>
      </c>
      <c r="K151" s="7" t="n">
        <v>5.94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7" t="n">
        <v>9.25</v>
      </c>
      <c r="E152" s="7" t="n">
        <v>1.75</v>
      </c>
      <c r="F152" s="7" t="n">
        <v>0</v>
      </c>
      <c r="G152" s="7" t="n">
        <v>32</v>
      </c>
      <c r="H152" s="7" t="n">
        <v>43</v>
      </c>
      <c r="I152" s="7" t="n">
        <v>0</v>
      </c>
      <c r="J152" s="7" t="n">
        <v>43</v>
      </c>
      <c r="K152" s="7" t="n">
        <v>5.19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7" t="n">
        <v>33.25</v>
      </c>
      <c r="E153" s="7" t="n">
        <v>5</v>
      </c>
      <c r="F153" s="7" t="n">
        <v>0</v>
      </c>
      <c r="G153" s="7" t="n">
        <v>8</v>
      </c>
      <c r="H153" s="7" t="n">
        <v>46.25</v>
      </c>
      <c r="I153" s="7" t="n">
        <v>0</v>
      </c>
      <c r="J153" s="7" t="n">
        <v>46.25</v>
      </c>
      <c r="K153" s="7" t="n">
        <v>5.58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7" t="n">
        <v>33.25</v>
      </c>
      <c r="E154" s="7" t="n">
        <v>4</v>
      </c>
      <c r="F154" s="7" t="n">
        <v>0</v>
      </c>
      <c r="G154" s="7" t="n">
        <v>8</v>
      </c>
      <c r="H154" s="7" t="n">
        <v>45.25</v>
      </c>
      <c r="I154" s="7" t="n">
        <v>0</v>
      </c>
      <c r="J154" s="7" t="n">
        <v>45.25</v>
      </c>
      <c r="K154" s="7" t="n">
        <v>5.46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7" t="n">
        <v>31</v>
      </c>
      <c r="E155" s="7" t="n">
        <v>0</v>
      </c>
      <c r="F155" s="7" t="n">
        <v>0</v>
      </c>
      <c r="G155" s="7" t="n">
        <v>8</v>
      </c>
      <c r="H155" s="7" t="n">
        <v>39</v>
      </c>
      <c r="I155" s="7" t="n">
        <v>0</v>
      </c>
      <c r="J155" s="7" t="n">
        <v>39</v>
      </c>
      <c r="K155" s="7" t="n">
        <v>4.71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7" t="n">
        <v>33.25</v>
      </c>
      <c r="E156" s="7" t="n">
        <v>11.25</v>
      </c>
      <c r="F156" s="7" t="n">
        <v>0</v>
      </c>
      <c r="G156" s="7" t="n">
        <v>8</v>
      </c>
      <c r="H156" s="7" t="n">
        <v>52.5</v>
      </c>
      <c r="I156" s="7" t="n">
        <v>0</v>
      </c>
      <c r="J156" s="7" t="n">
        <v>52.5</v>
      </c>
      <c r="K156" s="7" t="n">
        <v>6.34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7" t="n">
        <v>33.25</v>
      </c>
      <c r="E157" s="7" t="n">
        <v>3.5</v>
      </c>
      <c r="F157" s="7" t="n">
        <v>0</v>
      </c>
      <c r="G157" s="7" t="n">
        <v>8</v>
      </c>
      <c r="H157" s="7" t="n">
        <v>44.75</v>
      </c>
      <c r="I157" s="7" t="n">
        <v>0</v>
      </c>
      <c r="J157" s="7" t="n">
        <v>44.75</v>
      </c>
      <c r="K157" s="7" t="n">
        <v>5.4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7" t="n">
        <v>0</v>
      </c>
      <c r="E158" s="7" t="n">
        <v>0</v>
      </c>
      <c r="F158" s="7" t="n">
        <v>0</v>
      </c>
      <c r="G158" s="7" t="n">
        <v>8</v>
      </c>
      <c r="H158" s="7" t="n">
        <v>8</v>
      </c>
      <c r="I158" s="7" t="n">
        <v>0</v>
      </c>
      <c r="J158" s="7" t="n">
        <v>8</v>
      </c>
      <c r="K158" s="7" t="n">
        <v>0.97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7" t="n">
        <v>30.25</v>
      </c>
      <c r="E159" s="7" t="n">
        <v>0</v>
      </c>
      <c r="F159" s="7" t="n">
        <v>0</v>
      </c>
      <c r="G159" s="7" t="n">
        <v>8</v>
      </c>
      <c r="H159" s="7" t="n">
        <v>38.25</v>
      </c>
      <c r="I159" s="7" t="n">
        <v>0</v>
      </c>
      <c r="J159" s="7" t="n">
        <v>38.25</v>
      </c>
      <c r="K159" s="7" t="n">
        <v>4.62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7" t="n">
        <v>33.25</v>
      </c>
      <c r="E160" s="7" t="n">
        <v>3.75</v>
      </c>
      <c r="F160" s="7" t="n">
        <v>0</v>
      </c>
      <c r="G160" s="7" t="n">
        <v>8</v>
      </c>
      <c r="H160" s="7" t="n">
        <v>45</v>
      </c>
      <c r="I160" s="7" t="n">
        <v>0</v>
      </c>
      <c r="J160" s="7" t="n">
        <v>45</v>
      </c>
      <c r="K160" s="7" t="n">
        <v>5.43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7" t="n">
        <v>30.25</v>
      </c>
      <c r="E161" s="7" t="n">
        <v>0</v>
      </c>
      <c r="F161" s="7" t="n">
        <v>0</v>
      </c>
      <c r="G161" s="7" t="n">
        <v>8</v>
      </c>
      <c r="H161" s="7" t="n">
        <v>38.25</v>
      </c>
      <c r="I161" s="7" t="n">
        <v>0</v>
      </c>
      <c r="J161" s="7" t="n">
        <v>38.25</v>
      </c>
      <c r="K161" s="7" t="n">
        <v>4.62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7" t="n">
        <v>33.25</v>
      </c>
      <c r="E162" s="7" t="n">
        <v>6.5</v>
      </c>
      <c r="F162" s="7" t="n">
        <v>0</v>
      </c>
      <c r="G162" s="7" t="n">
        <v>8</v>
      </c>
      <c r="H162" s="7" t="n">
        <v>47.75</v>
      </c>
      <c r="I162" s="7" t="n">
        <v>0</v>
      </c>
      <c r="J162" s="7" t="n">
        <v>47.75</v>
      </c>
      <c r="K162" s="7" t="n">
        <v>5.76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7" t="n">
        <v>33.25</v>
      </c>
      <c r="E163" s="7" t="n">
        <v>3.75</v>
      </c>
      <c r="F163" s="7" t="n">
        <v>0</v>
      </c>
      <c r="G163" s="7" t="n">
        <v>8</v>
      </c>
      <c r="H163" s="7" t="n">
        <v>45</v>
      </c>
      <c r="I163" s="7" t="n">
        <v>0</v>
      </c>
      <c r="J163" s="7" t="n">
        <v>45</v>
      </c>
      <c r="K163" s="7" t="n">
        <v>5.43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7" t="n">
        <v>31.75</v>
      </c>
      <c r="E164" s="7" t="n">
        <v>6.75</v>
      </c>
      <c r="F164" s="7" t="n">
        <v>0</v>
      </c>
      <c r="G164" s="7" t="n">
        <v>8</v>
      </c>
      <c r="H164" s="7" t="n">
        <v>46.5</v>
      </c>
      <c r="I164" s="7" t="n">
        <v>0</v>
      </c>
      <c r="J164" s="7" t="n">
        <v>46.5</v>
      </c>
      <c r="K164" s="7" t="n">
        <v>5.61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7" t="n">
        <v>33.25</v>
      </c>
      <c r="E165" s="7" t="n">
        <v>6.75</v>
      </c>
      <c r="F165" s="7" t="n">
        <v>0</v>
      </c>
      <c r="G165" s="7" t="n">
        <v>8</v>
      </c>
      <c r="H165" s="7" t="n">
        <v>48</v>
      </c>
      <c r="I165" s="7" t="n">
        <v>0</v>
      </c>
      <c r="J165" s="7" t="n">
        <v>48</v>
      </c>
      <c r="K165" s="7" t="n">
        <v>5.79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7" t="n">
        <v>32.5</v>
      </c>
      <c r="E166" s="7" t="n">
        <v>6.75</v>
      </c>
      <c r="F166" s="7" t="n">
        <v>0</v>
      </c>
      <c r="G166" s="7" t="n">
        <v>8</v>
      </c>
      <c r="H166" s="7" t="n">
        <v>47.25</v>
      </c>
      <c r="I166" s="7" t="n">
        <v>0</v>
      </c>
      <c r="J166" s="7" t="n">
        <v>47.25</v>
      </c>
      <c r="K166" s="7" t="n">
        <v>5.7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7" t="n">
        <v>26.5</v>
      </c>
      <c r="E167" s="7" t="n">
        <v>0</v>
      </c>
      <c r="F167" s="7" t="n">
        <v>0</v>
      </c>
      <c r="G167" s="7" t="n">
        <v>8</v>
      </c>
      <c r="H167" s="7" t="n">
        <v>34.5</v>
      </c>
      <c r="I167" s="7" t="n">
        <v>0</v>
      </c>
      <c r="J167" s="7" t="n">
        <v>34.5</v>
      </c>
      <c r="K167" s="7" t="n">
        <v>4.16</v>
      </c>
    </row>
    <row r="168">
      <c r="A168" s="6" t="inlineStr">
        <is>
          <t>VIDYA PATEL</t>
        </is>
      </c>
      <c r="B168" s="6" t="inlineStr">
        <is>
          <t>PROD BELT</t>
        </is>
      </c>
      <c r="C168" s="7" t="n">
        <v>124</v>
      </c>
      <c r="D168" s="7" t="n">
        <v>11.75</v>
      </c>
      <c r="E168" s="7" t="n">
        <v>0</v>
      </c>
      <c r="F168" s="7" t="n">
        <v>0</v>
      </c>
      <c r="G168" s="7" t="n">
        <v>8</v>
      </c>
      <c r="H168" s="7" t="n">
        <v>19.75</v>
      </c>
      <c r="I168" s="7" t="n">
        <v>0</v>
      </c>
      <c r="J168" s="7" t="n">
        <v>19.75</v>
      </c>
      <c r="K168" s="7" t="n">
        <v>2.38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7" t="n">
        <v>26.5</v>
      </c>
      <c r="E169" s="7" t="n">
        <v>0</v>
      </c>
      <c r="F169" s="7" t="n">
        <v>0</v>
      </c>
      <c r="G169" s="7" t="n">
        <v>8</v>
      </c>
      <c r="H169" s="7" t="n">
        <v>34.5</v>
      </c>
      <c r="I169" s="7" t="n">
        <v>0</v>
      </c>
      <c r="J169" s="7" t="n">
        <v>34.5</v>
      </c>
      <c r="K169" s="7" t="n">
        <v>4.16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7" t="n">
        <v>27.5</v>
      </c>
      <c r="E170" s="7" t="n">
        <v>0</v>
      </c>
      <c r="F170" s="7" t="n">
        <v>0</v>
      </c>
      <c r="G170" s="7" t="n">
        <v>8</v>
      </c>
      <c r="H170" s="7" t="n">
        <v>35.5</v>
      </c>
      <c r="I170" s="7" t="n">
        <v>0</v>
      </c>
      <c r="J170" s="7" t="n">
        <v>35.5</v>
      </c>
      <c r="K170" s="7" t="n">
        <v>4.28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7" t="n">
        <v>32.75</v>
      </c>
      <c r="E171" s="7" t="n">
        <v>0</v>
      </c>
      <c r="F171" s="7" t="n">
        <v>0</v>
      </c>
      <c r="G171" s="7" t="n">
        <v>8</v>
      </c>
      <c r="H171" s="7" t="n">
        <v>40.75</v>
      </c>
      <c r="I171" s="7" t="n">
        <v>0</v>
      </c>
      <c r="J171" s="7" t="n">
        <v>40.75</v>
      </c>
      <c r="K171" s="7" t="n">
        <v>4.92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7" t="n">
        <v>30.5</v>
      </c>
      <c r="E172" s="7" t="n">
        <v>0</v>
      </c>
      <c r="F172" s="7" t="n">
        <v>0</v>
      </c>
      <c r="G172" s="7" t="n">
        <v>8</v>
      </c>
      <c r="H172" s="7" t="n">
        <v>38.5</v>
      </c>
      <c r="I172" s="7" t="n">
        <v>0</v>
      </c>
      <c r="J172" s="7" t="n">
        <v>38.5</v>
      </c>
      <c r="K172" s="7" t="n">
        <v>4.65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7" t="n">
        <v>26.5</v>
      </c>
      <c r="E173" s="7" t="n">
        <v>0</v>
      </c>
      <c r="F173" s="7" t="n">
        <v>0</v>
      </c>
      <c r="G173" s="7" t="n">
        <v>8</v>
      </c>
      <c r="H173" s="7" t="n">
        <v>34.5</v>
      </c>
      <c r="I173" s="7" t="n">
        <v>0</v>
      </c>
      <c r="J173" s="7" t="n">
        <v>34.5</v>
      </c>
      <c r="K173" s="7" t="n">
        <v>4.16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7" t="n">
        <v>30.5</v>
      </c>
      <c r="E174" s="7" t="n">
        <v>0</v>
      </c>
      <c r="F174" s="7" t="n">
        <v>0</v>
      </c>
      <c r="G174" s="7" t="n">
        <v>8</v>
      </c>
      <c r="H174" s="7" t="n">
        <v>38.5</v>
      </c>
      <c r="I174" s="7" t="n">
        <v>0</v>
      </c>
      <c r="J174" s="7" t="n">
        <v>38.5</v>
      </c>
      <c r="K174" s="7" t="n">
        <v>4.65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7" t="n">
        <v>26.5</v>
      </c>
      <c r="E175" s="7" t="n">
        <v>0</v>
      </c>
      <c r="F175" s="7" t="n">
        <v>0</v>
      </c>
      <c r="G175" s="7" t="n">
        <v>8</v>
      </c>
      <c r="H175" s="7" t="n">
        <v>34.5</v>
      </c>
      <c r="I175" s="7" t="n">
        <v>0</v>
      </c>
      <c r="J175" s="7" t="n">
        <v>34.5</v>
      </c>
      <c r="K175" s="7" t="n">
        <v>4.16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7" t="n">
        <v>17.5</v>
      </c>
      <c r="E176" s="7" t="n">
        <v>0</v>
      </c>
      <c r="F176" s="7" t="n">
        <v>0</v>
      </c>
      <c r="G176" s="7" t="n">
        <v>8</v>
      </c>
      <c r="H176" s="7" t="n">
        <v>25.5</v>
      </c>
      <c r="I176" s="7" t="n">
        <v>0</v>
      </c>
      <c r="J176" s="7" t="n">
        <v>25.5</v>
      </c>
      <c r="K176" s="7" t="n">
        <v>3.08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7" t="n">
        <v>29.5</v>
      </c>
      <c r="E177" s="7" t="n">
        <v>0</v>
      </c>
      <c r="F177" s="7" t="n">
        <v>0</v>
      </c>
      <c r="G177" s="7" t="n">
        <v>8</v>
      </c>
      <c r="H177" s="7" t="n">
        <v>37.5</v>
      </c>
      <c r="I177" s="7" t="n">
        <v>0</v>
      </c>
      <c r="J177" s="7" t="n">
        <v>37.5</v>
      </c>
      <c r="K177" s="7" t="n">
        <v>4.53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7" t="n">
        <v>26.5</v>
      </c>
      <c r="E178" s="7" t="n">
        <v>0</v>
      </c>
      <c r="F178" s="7" t="n">
        <v>0</v>
      </c>
      <c r="G178" s="7" t="n">
        <v>8</v>
      </c>
      <c r="H178" s="7" t="n">
        <v>34.5</v>
      </c>
      <c r="I178" s="7" t="n">
        <v>0</v>
      </c>
      <c r="J178" s="7" t="n">
        <v>34.5</v>
      </c>
      <c r="K178" s="7" t="n">
        <v>4.16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7" t="n">
        <v>0</v>
      </c>
      <c r="E179" s="7" t="n">
        <v>0</v>
      </c>
      <c r="F179" s="7" t="n">
        <v>0</v>
      </c>
      <c r="G179" s="7" t="n">
        <v>8</v>
      </c>
      <c r="H179" s="7" t="n">
        <v>8</v>
      </c>
      <c r="I179" s="7" t="n">
        <v>0</v>
      </c>
      <c r="J179" s="7" t="n">
        <v>8</v>
      </c>
      <c r="K179" s="7" t="n">
        <v>0.97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7" t="n">
        <v>29.25</v>
      </c>
      <c r="E180" s="7" t="n">
        <v>0</v>
      </c>
      <c r="F180" s="7" t="n">
        <v>0</v>
      </c>
      <c r="G180" s="7" t="n">
        <v>8</v>
      </c>
      <c r="H180" s="7" t="n">
        <v>37.25</v>
      </c>
      <c r="I180" s="7" t="n">
        <v>0</v>
      </c>
      <c r="J180" s="7" t="n">
        <v>37.25</v>
      </c>
      <c r="K180" s="7" t="n">
        <v>4.5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7" t="n">
        <v>14.75</v>
      </c>
      <c r="E181" s="7" t="n">
        <v>0</v>
      </c>
      <c r="F181" s="7" t="n">
        <v>0</v>
      </c>
      <c r="G181" s="7" t="n">
        <v>8</v>
      </c>
      <c r="H181" s="7" t="n">
        <v>22.75</v>
      </c>
      <c r="I181" s="7" t="n">
        <v>40</v>
      </c>
      <c r="J181" s="7" t="n">
        <v>0</v>
      </c>
      <c r="K181" s="7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7" t="n">
        <v>29</v>
      </c>
      <c r="E182" s="7" t="n">
        <v>0</v>
      </c>
      <c r="F182" s="7" t="n">
        <v>0</v>
      </c>
      <c r="G182" s="7" t="n">
        <v>8</v>
      </c>
      <c r="H182" s="7" t="n">
        <v>37</v>
      </c>
      <c r="I182" s="7" t="n">
        <v>0</v>
      </c>
      <c r="J182" s="7" t="n">
        <v>37</v>
      </c>
      <c r="K182" s="7" t="n">
        <v>4.47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7" t="n">
        <v>33.25</v>
      </c>
      <c r="E183" s="7" t="n">
        <v>7.75</v>
      </c>
      <c r="F183" s="7" t="n">
        <v>0</v>
      </c>
      <c r="G183" s="7" t="n">
        <v>8</v>
      </c>
      <c r="H183" s="7" t="n">
        <v>49</v>
      </c>
      <c r="I183" s="7" t="n">
        <v>0</v>
      </c>
      <c r="J183" s="7" t="n">
        <v>49</v>
      </c>
      <c r="K183" s="7" t="n">
        <v>5.91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7" t="n">
        <v>29</v>
      </c>
      <c r="E184" s="7" t="n">
        <v>0</v>
      </c>
      <c r="F184" s="7" t="n">
        <v>0</v>
      </c>
      <c r="G184" s="7" t="n">
        <v>8</v>
      </c>
      <c r="H184" s="7" t="n">
        <v>37</v>
      </c>
      <c r="I184" s="7" t="n">
        <v>0</v>
      </c>
      <c r="J184" s="7" t="n">
        <v>37</v>
      </c>
      <c r="K184" s="7" t="n">
        <v>4.47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7" t="n">
        <v>33.25</v>
      </c>
      <c r="E185" s="7" t="n">
        <v>0</v>
      </c>
      <c r="F185" s="7" t="n">
        <v>0</v>
      </c>
      <c r="G185" s="7" t="n">
        <v>8</v>
      </c>
      <c r="H185" s="7" t="n">
        <v>41.25</v>
      </c>
      <c r="I185" s="7" t="n">
        <v>0</v>
      </c>
      <c r="J185" s="7" t="n">
        <v>41.25</v>
      </c>
      <c r="K185" s="7" t="n">
        <v>4.98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7" t="n">
        <v>22.5</v>
      </c>
      <c r="E186" s="7" t="n">
        <v>0</v>
      </c>
      <c r="F186" s="7" t="n">
        <v>0</v>
      </c>
      <c r="G186" s="7" t="n">
        <v>8</v>
      </c>
      <c r="H186" s="7" t="n">
        <v>30.5</v>
      </c>
      <c r="I186" s="7" t="n">
        <v>0</v>
      </c>
      <c r="J186" s="7" t="n">
        <v>30.5</v>
      </c>
      <c r="K186" s="7" t="n">
        <v>3.68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7" t="n">
        <v>29</v>
      </c>
      <c r="E187" s="7" t="n">
        <v>0</v>
      </c>
      <c r="F187" s="7" t="n">
        <v>0</v>
      </c>
      <c r="G187" s="7" t="n">
        <v>8</v>
      </c>
      <c r="H187" s="7" t="n">
        <v>37</v>
      </c>
      <c r="I187" s="7" t="n">
        <v>0</v>
      </c>
      <c r="J187" s="7" t="n">
        <v>37</v>
      </c>
      <c r="K187" s="7" t="n">
        <v>4.47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7" t="n">
        <v>33.25</v>
      </c>
      <c r="E188" s="7" t="n">
        <v>9.75</v>
      </c>
      <c r="F188" s="7" t="n">
        <v>0</v>
      </c>
      <c r="G188" s="7" t="n">
        <v>8</v>
      </c>
      <c r="H188" s="7" t="n">
        <v>51</v>
      </c>
      <c r="I188" s="7" t="n">
        <v>0</v>
      </c>
      <c r="J188" s="7" t="n">
        <v>51</v>
      </c>
      <c r="K188" s="7" t="n">
        <v>6.16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7" t="n">
        <v>29.75</v>
      </c>
      <c r="E189" s="7" t="n">
        <v>0</v>
      </c>
      <c r="F189" s="7" t="n">
        <v>0</v>
      </c>
      <c r="G189" s="7" t="n">
        <v>8</v>
      </c>
      <c r="H189" s="7" t="n">
        <v>37.75</v>
      </c>
      <c r="I189" s="7" t="n">
        <v>0</v>
      </c>
      <c r="J189" s="7" t="n">
        <v>37.75</v>
      </c>
      <c r="K189" s="7" t="n">
        <v>4.56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7" t="n">
        <v>33.25</v>
      </c>
      <c r="E190" s="7" t="n">
        <v>7.75</v>
      </c>
      <c r="F190" s="7" t="n">
        <v>0</v>
      </c>
      <c r="G190" s="7" t="n">
        <v>8</v>
      </c>
      <c r="H190" s="7" t="n">
        <v>49</v>
      </c>
      <c r="I190" s="7" t="n">
        <v>0</v>
      </c>
      <c r="J190" s="7" t="n">
        <v>49</v>
      </c>
      <c r="K190" s="7" t="n">
        <v>5.91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7" t="n">
        <v>30.75</v>
      </c>
      <c r="E191" s="7" t="n">
        <v>0</v>
      </c>
      <c r="F191" s="7" t="n">
        <v>0</v>
      </c>
      <c r="G191" s="7" t="n">
        <v>8</v>
      </c>
      <c r="H191" s="7" t="n">
        <v>38.75</v>
      </c>
      <c r="I191" s="7" t="n">
        <v>0</v>
      </c>
      <c r="J191" s="7" t="n">
        <v>38.75</v>
      </c>
      <c r="K191" s="7" t="n">
        <v>4.68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7" t="n">
        <v>23</v>
      </c>
      <c r="E192" s="7" t="n">
        <v>0</v>
      </c>
      <c r="F192" s="7" t="n">
        <v>0</v>
      </c>
      <c r="G192" s="7" t="n">
        <v>8</v>
      </c>
      <c r="H192" s="7" t="n">
        <v>31</v>
      </c>
      <c r="I192" s="7" t="n">
        <v>0</v>
      </c>
      <c r="J192" s="7" t="n">
        <v>31</v>
      </c>
      <c r="K192" s="7" t="n">
        <v>3.74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7" t="n">
        <v>24</v>
      </c>
      <c r="E193" s="7" t="n">
        <v>0</v>
      </c>
      <c r="F193" s="7" t="n">
        <v>0</v>
      </c>
      <c r="G193" s="7" t="n">
        <v>8</v>
      </c>
      <c r="H193" s="7" t="n">
        <v>32</v>
      </c>
      <c r="I193" s="7" t="n">
        <v>0</v>
      </c>
      <c r="J193" s="7" t="n">
        <v>32</v>
      </c>
      <c r="K193" s="7" t="n">
        <v>3.86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7" t="n">
        <v>29.25</v>
      </c>
      <c r="E194" s="7" t="n">
        <v>0</v>
      </c>
      <c r="F194" s="7" t="n">
        <v>0</v>
      </c>
      <c r="G194" s="7" t="n">
        <v>8</v>
      </c>
      <c r="H194" s="7" t="n">
        <v>37.25</v>
      </c>
      <c r="I194" s="7" t="n">
        <v>0</v>
      </c>
      <c r="J194" s="7" t="n">
        <v>37.25</v>
      </c>
      <c r="K194" s="7" t="n">
        <v>4.5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7" t="n">
        <v>31.75</v>
      </c>
      <c r="E195" s="7" t="n">
        <v>0</v>
      </c>
      <c r="F195" s="7" t="n">
        <v>0</v>
      </c>
      <c r="G195" s="7" t="n">
        <v>8</v>
      </c>
      <c r="H195" s="7" t="n">
        <v>39.75</v>
      </c>
      <c r="I195" s="7" t="n">
        <v>0</v>
      </c>
      <c r="J195" s="7" t="n">
        <v>39.75</v>
      </c>
      <c r="K195" s="7" t="n">
        <v>4.8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7" t="n">
        <v>31.5</v>
      </c>
      <c r="E196" s="7" t="n">
        <v>0</v>
      </c>
      <c r="F196" s="7" t="n">
        <v>0</v>
      </c>
      <c r="G196" s="7" t="n">
        <v>8</v>
      </c>
      <c r="H196" s="7" t="n">
        <v>39.5</v>
      </c>
      <c r="I196" s="7" t="n">
        <v>0</v>
      </c>
      <c r="J196" s="7" t="n">
        <v>39.5</v>
      </c>
      <c r="K196" s="7" t="n">
        <v>4.77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7" t="n">
        <v>0</v>
      </c>
      <c r="E197" s="7" t="n">
        <v>0</v>
      </c>
      <c r="F197" s="7" t="n">
        <v>0</v>
      </c>
      <c r="G197" s="7" t="n">
        <v>8</v>
      </c>
      <c r="H197" s="7" t="n">
        <v>8</v>
      </c>
      <c r="I197" s="7" t="n">
        <v>0</v>
      </c>
      <c r="J197" s="7" t="n">
        <v>8</v>
      </c>
      <c r="K197" s="7" t="n">
        <v>0.97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7" t="n">
        <v>25.5</v>
      </c>
      <c r="E198" s="7" t="n">
        <v>0</v>
      </c>
      <c r="F198" s="7" t="n">
        <v>0</v>
      </c>
      <c r="G198" s="7" t="n">
        <v>8</v>
      </c>
      <c r="H198" s="7" t="n">
        <v>33.5</v>
      </c>
      <c r="I198" s="7" t="n">
        <v>0</v>
      </c>
      <c r="J198" s="7" t="n">
        <v>33.5</v>
      </c>
      <c r="K198" s="7" t="n">
        <v>4.04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7" t="n">
        <v>33.25</v>
      </c>
      <c r="E199" s="7" t="n">
        <v>6</v>
      </c>
      <c r="F199" s="7" t="n">
        <v>0</v>
      </c>
      <c r="G199" s="7" t="n">
        <v>8</v>
      </c>
      <c r="H199" s="7" t="n">
        <v>47.25</v>
      </c>
      <c r="I199" s="7" t="n">
        <v>0</v>
      </c>
      <c r="J199" s="7" t="n">
        <v>47.25</v>
      </c>
      <c r="K199" s="7" t="n">
        <v>5.7</v>
      </c>
    </row>
    <row r="200">
      <c r="A200" s="6" t="inlineStr">
        <is>
          <t>ANDRE SILVA</t>
        </is>
      </c>
      <c r="B200" s="6" t="inlineStr">
        <is>
          <t>PROD PREPARATION</t>
        </is>
      </c>
      <c r="C200" s="7" t="n">
        <v>627</v>
      </c>
      <c r="D200" s="7" t="n">
        <v>33.25</v>
      </c>
      <c r="E200" s="7" t="n">
        <v>4.75</v>
      </c>
      <c r="F200" s="7" t="n">
        <v>0</v>
      </c>
      <c r="G200" s="7" t="n">
        <v>8</v>
      </c>
      <c r="H200" s="7" t="n">
        <v>46</v>
      </c>
      <c r="I200" s="7" t="n">
        <v>0</v>
      </c>
      <c r="J200" s="7" t="n">
        <v>46</v>
      </c>
      <c r="K200" s="7" t="n">
        <v>5.55</v>
      </c>
    </row>
    <row r="201">
      <c r="A201" s="6" t="inlineStr">
        <is>
          <t>MAGDALENA SHAH</t>
        </is>
      </c>
      <c r="B201" s="6" t="inlineStr">
        <is>
          <t>PROD PREPARATION</t>
        </is>
      </c>
      <c r="C201" s="7" t="n">
        <v>263</v>
      </c>
      <c r="D201" s="7" t="n">
        <v>18.5</v>
      </c>
      <c r="E201" s="7" t="n">
        <v>0</v>
      </c>
      <c r="F201" s="7" t="n">
        <v>0</v>
      </c>
      <c r="G201" s="7" t="n">
        <v>8</v>
      </c>
      <c r="H201" s="7" t="n">
        <v>26.5</v>
      </c>
      <c r="I201" s="7" t="n">
        <v>0</v>
      </c>
      <c r="J201" s="7" t="n">
        <v>26.5</v>
      </c>
      <c r="K201" s="7" t="n">
        <v>3.2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7" t="n">
        <v>33.25</v>
      </c>
      <c r="E202" s="7" t="n">
        <v>3.25</v>
      </c>
      <c r="F202" s="7" t="n">
        <v>0</v>
      </c>
      <c r="G202" s="7" t="n">
        <v>8</v>
      </c>
      <c r="H202" s="7" t="n">
        <v>44.5</v>
      </c>
      <c r="I202" s="7" t="n">
        <v>0</v>
      </c>
      <c r="J202" s="7" t="n">
        <v>44.5</v>
      </c>
      <c r="K202" s="7" t="n">
        <v>5.37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7" t="n">
        <v>33.25</v>
      </c>
      <c r="E203" s="7" t="n">
        <v>5</v>
      </c>
      <c r="F203" s="7" t="n">
        <v>0</v>
      </c>
      <c r="G203" s="7" t="n">
        <v>8</v>
      </c>
      <c r="H203" s="7" t="n">
        <v>46.25</v>
      </c>
      <c r="I203" s="7" t="n">
        <v>0</v>
      </c>
      <c r="J203" s="7" t="n">
        <v>46.25</v>
      </c>
      <c r="K203" s="7" t="n">
        <v>5.58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7" t="n">
        <v>33.25</v>
      </c>
      <c r="E204" s="7" t="n">
        <v>14</v>
      </c>
      <c r="F204" s="7" t="n">
        <v>0</v>
      </c>
      <c r="G204" s="7" t="n">
        <v>8</v>
      </c>
      <c r="H204" s="7" t="n">
        <v>55.25</v>
      </c>
      <c r="I204" s="7" t="n">
        <v>0</v>
      </c>
      <c r="J204" s="7" t="n">
        <v>55.25</v>
      </c>
      <c r="K204" s="7" t="n">
        <v>6.67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7" t="n">
        <v>33.25</v>
      </c>
      <c r="E205" s="7" t="n">
        <v>10.75</v>
      </c>
      <c r="F205" s="7" t="n">
        <v>0</v>
      </c>
      <c r="G205" s="7" t="n">
        <v>8</v>
      </c>
      <c r="H205" s="7" t="n">
        <v>52</v>
      </c>
      <c r="I205" s="7" t="n">
        <v>0</v>
      </c>
      <c r="J205" s="7" t="n">
        <v>52</v>
      </c>
      <c r="K205" s="7" t="n">
        <v>6.28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7" t="n">
        <v>0</v>
      </c>
      <c r="E206" s="7" t="n">
        <v>0</v>
      </c>
      <c r="F206" s="7" t="n">
        <v>0</v>
      </c>
      <c r="G206" s="7" t="n">
        <v>8</v>
      </c>
      <c r="H206" s="7" t="n">
        <v>8</v>
      </c>
      <c r="I206" s="7" t="n">
        <v>0</v>
      </c>
      <c r="J206" s="7" t="n">
        <v>8</v>
      </c>
      <c r="K206" s="7" t="n">
        <v>0.97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7" t="n">
        <v>26.5</v>
      </c>
      <c r="E207" s="7" t="n">
        <v>0</v>
      </c>
      <c r="F207" s="7" t="n">
        <v>0</v>
      </c>
      <c r="G207" s="7" t="n">
        <v>8</v>
      </c>
      <c r="H207" s="7" t="n">
        <v>34.5</v>
      </c>
      <c r="I207" s="7" t="n">
        <v>0</v>
      </c>
      <c r="J207" s="7" t="n">
        <v>34.5</v>
      </c>
      <c r="K207" s="7" t="n">
        <v>4.16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7" t="n">
        <v>28</v>
      </c>
      <c r="E208" s="7" t="n">
        <v>0</v>
      </c>
      <c r="F208" s="7" t="n">
        <v>0</v>
      </c>
      <c r="G208" s="7" t="n">
        <v>8</v>
      </c>
      <c r="H208" s="7" t="n">
        <v>36</v>
      </c>
      <c r="I208" s="7" t="n">
        <v>0</v>
      </c>
      <c r="J208" s="7" t="n">
        <v>36</v>
      </c>
      <c r="K208" s="7" t="n">
        <v>4.35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7" t="n">
        <v>21.25</v>
      </c>
      <c r="E209" s="7" t="n">
        <v>0</v>
      </c>
      <c r="F209" s="7" t="n">
        <v>0</v>
      </c>
      <c r="G209" s="7" t="n">
        <v>16</v>
      </c>
      <c r="H209" s="7" t="n">
        <v>37.25</v>
      </c>
      <c r="I209" s="7" t="n">
        <v>0</v>
      </c>
      <c r="J209" s="7" t="n">
        <v>37.25</v>
      </c>
      <c r="K209" s="7" t="n">
        <v>4.5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7" t="n">
        <v>29</v>
      </c>
      <c r="E210" s="7" t="n">
        <v>0</v>
      </c>
      <c r="F210" s="7" t="n">
        <v>0</v>
      </c>
      <c r="G210" s="7" t="n">
        <v>8</v>
      </c>
      <c r="H210" s="7" t="n">
        <v>37</v>
      </c>
      <c r="I210" s="7" t="n">
        <v>0</v>
      </c>
      <c r="J210" s="7" t="n">
        <v>37</v>
      </c>
      <c r="K210" s="7" t="n">
        <v>4.47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7" t="n">
        <v>29</v>
      </c>
      <c r="E211" s="7" t="n">
        <v>0</v>
      </c>
      <c r="F211" s="7" t="n">
        <v>0</v>
      </c>
      <c r="G211" s="7" t="n">
        <v>8</v>
      </c>
      <c r="H211" s="7" t="n">
        <v>37</v>
      </c>
      <c r="I211" s="7" t="n">
        <v>0</v>
      </c>
      <c r="J211" s="7" t="n">
        <v>37</v>
      </c>
      <c r="K211" s="7" t="n">
        <v>4.47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7" t="n">
        <v>0</v>
      </c>
      <c r="E212" s="7" t="n">
        <v>0</v>
      </c>
      <c r="F212" s="7" t="n">
        <v>0</v>
      </c>
      <c r="G212" s="7" t="n">
        <v>8</v>
      </c>
      <c r="H212" s="7" t="n">
        <v>8</v>
      </c>
      <c r="I212" s="7" t="n">
        <v>0</v>
      </c>
      <c r="J212" s="7" t="n">
        <v>8</v>
      </c>
      <c r="K212" s="7" t="n">
        <v>0.97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7" t="n">
        <v>15</v>
      </c>
      <c r="E213" s="7" t="n">
        <v>0</v>
      </c>
      <c r="F213" s="7" t="n">
        <v>0</v>
      </c>
      <c r="G213" s="7" t="n">
        <v>16</v>
      </c>
      <c r="H213" s="7" t="n">
        <v>31</v>
      </c>
      <c r="I213" s="7" t="n">
        <v>0</v>
      </c>
      <c r="J213" s="7" t="n">
        <v>31</v>
      </c>
      <c r="K213" s="7" t="n">
        <v>3.74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7" t="n">
        <v>0</v>
      </c>
      <c r="E214" s="7" t="n">
        <v>0</v>
      </c>
      <c r="F214" s="7" t="n">
        <v>0</v>
      </c>
      <c r="G214" s="7" t="n">
        <v>40</v>
      </c>
      <c r="H214" s="7" t="n">
        <v>40</v>
      </c>
      <c r="I214" s="7" t="n">
        <v>0</v>
      </c>
      <c r="J214" s="7" t="n">
        <v>40</v>
      </c>
      <c r="K214" s="7" t="n">
        <v>4.83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7" t="n">
        <v>33.25</v>
      </c>
      <c r="E215" s="7" t="n">
        <v>12</v>
      </c>
      <c r="F215" s="7" t="n">
        <v>0</v>
      </c>
      <c r="G215" s="7" t="n">
        <v>8</v>
      </c>
      <c r="H215" s="7" t="n">
        <v>53.25</v>
      </c>
      <c r="I215" s="7" t="n">
        <v>0</v>
      </c>
      <c r="J215" s="7" t="n">
        <v>53.25</v>
      </c>
      <c r="K215" s="7" t="n">
        <v>6.43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7" t="n">
        <v>33.25</v>
      </c>
      <c r="E216" s="7" t="n">
        <v>4</v>
      </c>
      <c r="F216" s="7" t="n">
        <v>0</v>
      </c>
      <c r="G216" s="7" t="n">
        <v>8</v>
      </c>
      <c r="H216" s="7" t="n">
        <v>45.25</v>
      </c>
      <c r="I216" s="7" t="n">
        <v>0</v>
      </c>
      <c r="J216" s="7" t="n">
        <v>45.25</v>
      </c>
      <c r="K216" s="7" t="n">
        <v>5.46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7" t="n">
        <v>33.25</v>
      </c>
      <c r="E217" s="7" t="n">
        <v>8.75</v>
      </c>
      <c r="F217" s="7" t="n">
        <v>0</v>
      </c>
      <c r="G217" s="7" t="n">
        <v>8</v>
      </c>
      <c r="H217" s="7" t="n">
        <v>50</v>
      </c>
      <c r="I217" s="7" t="n">
        <v>0</v>
      </c>
      <c r="J217" s="7" t="n">
        <v>50</v>
      </c>
      <c r="K217" s="7" t="n">
        <v>6.04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7" t="n">
        <v>22.75</v>
      </c>
      <c r="E218" s="7" t="n">
        <v>0</v>
      </c>
      <c r="F218" s="7" t="n">
        <v>0</v>
      </c>
      <c r="G218" s="7" t="n">
        <v>8</v>
      </c>
      <c r="H218" s="7" t="n">
        <v>30.75</v>
      </c>
      <c r="I218" s="7" t="n">
        <v>0</v>
      </c>
      <c r="J218" s="7" t="n">
        <v>30.75</v>
      </c>
      <c r="K218" s="7" t="n">
        <v>3.71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7" t="n">
        <v>33.25</v>
      </c>
      <c r="E219" s="7" t="n">
        <v>4.75</v>
      </c>
      <c r="F219" s="7" t="n">
        <v>0</v>
      </c>
      <c r="G219" s="7" t="n">
        <v>8</v>
      </c>
      <c r="H219" s="7" t="n">
        <v>46</v>
      </c>
      <c r="I219" s="7" t="n">
        <v>0</v>
      </c>
      <c r="J219" s="7" t="n">
        <v>46</v>
      </c>
      <c r="K219" s="7" t="n">
        <v>5.55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7" t="n">
        <v>20.5</v>
      </c>
      <c r="E220" s="7" t="n">
        <v>0</v>
      </c>
      <c r="F220" s="7" t="n">
        <v>0</v>
      </c>
      <c r="G220" s="7" t="n">
        <v>8</v>
      </c>
      <c r="H220" s="7" t="n">
        <v>28.5</v>
      </c>
      <c r="I220" s="7" t="n">
        <v>0</v>
      </c>
      <c r="J220" s="7" t="n">
        <v>28.5</v>
      </c>
      <c r="K220" s="7" t="n">
        <v>3.44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7" t="n">
        <v>33.25</v>
      </c>
      <c r="E221" s="7" t="n">
        <v>8.25</v>
      </c>
      <c r="F221" s="7" t="n">
        <v>0</v>
      </c>
      <c r="G221" s="7" t="n">
        <v>8</v>
      </c>
      <c r="H221" s="7" t="n">
        <v>49.5</v>
      </c>
      <c r="I221" s="7" t="n">
        <v>0</v>
      </c>
      <c r="J221" s="7" t="n">
        <v>49.5</v>
      </c>
      <c r="K221" s="7" t="n">
        <v>5.97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7" t="n">
        <v>29.75</v>
      </c>
      <c r="E222" s="7" t="n">
        <v>0</v>
      </c>
      <c r="F222" s="7" t="n">
        <v>7.75</v>
      </c>
      <c r="G222" s="7" t="n">
        <v>8</v>
      </c>
      <c r="H222" s="7" t="n">
        <v>45.5</v>
      </c>
      <c r="I222" s="7" t="n">
        <v>0</v>
      </c>
      <c r="J222" s="7" t="n">
        <v>45.5</v>
      </c>
      <c r="K222" s="7" t="n">
        <v>5.49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7">
        <f>SUMIFS($D$7:$D$222,$B$7:$B$222,$B231)</f>
        <v/>
      </c>
      <c r="E231" s="7">
        <f>SUMIFS($E$7:$E$222,$B$7:$B$222,$B231)</f>
        <v/>
      </c>
      <c r="F231" s="7">
        <f>SUMIFS($F$7:$F$222,$B$7:$B$222,$B231)</f>
        <v/>
      </c>
      <c r="G231" s="7">
        <f>SUMIFS($G$7:$G$222,$B$7:$B$222,$B231)</f>
        <v/>
      </c>
      <c r="H231" s="7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7">
        <f>SUMIFS($D$7:$D$222,$B$7:$B$222,$B232)</f>
        <v/>
      </c>
      <c r="E232" s="7">
        <f>SUMIFS($E$7:$E$222,$B$7:$B$222,$B232)</f>
        <v/>
      </c>
      <c r="F232" s="7">
        <f>SUMIFS($F$7:$F$222,$B$7:$B$222,$B232)</f>
        <v/>
      </c>
      <c r="G232" s="7">
        <f>SUMIFS($G$7:$G$222,$B$7:$B$222,$B232)</f>
        <v/>
      </c>
      <c r="H232" s="7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7">
        <f>SUMIFS($D$7:$D$222,$B$7:$B$222,$B233)</f>
        <v/>
      </c>
      <c r="E233" s="7">
        <f>SUMIFS($E$7:$E$222,$B$7:$B$222,$B233)</f>
        <v/>
      </c>
      <c r="F233" s="7">
        <f>SUMIFS($F$7:$F$222,$B$7:$B$222,$B233)</f>
        <v/>
      </c>
      <c r="G233" s="7">
        <f>SUMIFS($G$7:$G$222,$B$7:$B$222,$B233)</f>
        <v/>
      </c>
      <c r="H233" s="7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7">
        <f>SUMIFS($D$7:$D$222,$B$7:$B$222,$B234)</f>
        <v/>
      </c>
      <c r="E234" s="7">
        <f>SUMIFS($E$7:$E$222,$B$7:$B$222,$B234)</f>
        <v/>
      </c>
      <c r="F234" s="7">
        <f>SUMIFS($F$7:$F$222,$B$7:$B$222,$B234)</f>
        <v/>
      </c>
      <c r="G234" s="7">
        <f>SUMIFS($G$7:$G$222,$B$7:$B$222,$B234)</f>
        <v/>
      </c>
      <c r="H234" s="7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7">
        <f>SUMIFS($D$7:$D$222,$B$7:$B$222,$B235)</f>
        <v/>
      </c>
      <c r="E235" s="7">
        <f>SUMIFS($E$7:$E$222,$B$7:$B$222,$B235)</f>
        <v/>
      </c>
      <c r="F235" s="7">
        <f>SUMIFS($F$7:$F$222,$B$7:$B$222,$B235)</f>
        <v/>
      </c>
      <c r="G235" s="7">
        <f>SUMIFS($G$7:$G$222,$B$7:$B$222,$B235)</f>
        <v/>
      </c>
      <c r="H235" s="7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7">
        <f>SUMIFS($D$7:$D$222,$B$7:$B$222,$B236)</f>
        <v/>
      </c>
      <c r="E236" s="7">
        <f>SUMIFS($E$7:$E$222,$B$7:$B$222,$B236)</f>
        <v/>
      </c>
      <c r="F236" s="7">
        <f>SUMIFS($F$7:$F$222,$B$7:$B$222,$B236)</f>
        <v/>
      </c>
      <c r="G236" s="7">
        <f>SUMIFS($G$7:$G$222,$B$7:$B$222,$B236)</f>
        <v/>
      </c>
      <c r="H236" s="7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7">
        <f>SUMIFS($D$7:$D$222,$B$7:$B$222,$B237)</f>
        <v/>
      </c>
      <c r="E237" s="7">
        <f>SUMIFS($E$7:$E$222,$B$7:$B$222,$B237)</f>
        <v/>
      </c>
      <c r="F237" s="7">
        <f>SUMIFS($F$7:$F$222,$B$7:$B$222,$B237)</f>
        <v/>
      </c>
      <c r="G237" s="7">
        <f>SUMIFS($G$7:$G$222,$B$7:$B$222,$B237)</f>
        <v/>
      </c>
      <c r="H237" s="7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7">
        <f>SUMIFS($D$7:$D$222,$B$7:$B$222,$B238)</f>
        <v/>
      </c>
      <c r="E238" s="7">
        <f>SUMIFS($E$7:$E$222,$B$7:$B$222,$B238)</f>
        <v/>
      </c>
      <c r="F238" s="7">
        <f>SUMIFS($F$7:$F$222,$B$7:$B$222,$B238)</f>
        <v/>
      </c>
      <c r="G238" s="7">
        <f>SUMIFS($G$7:$G$222,$B$7:$B$222,$B238)</f>
        <v/>
      </c>
      <c r="H238" s="7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7">
        <f>SUMIFS($D$7:$D$222,$B$7:$B$222,$B239)</f>
        <v/>
      </c>
      <c r="E239" s="7">
        <f>SUMIFS($E$7:$E$222,$B$7:$B$222,$B239)</f>
        <v/>
      </c>
      <c r="F239" s="7">
        <f>SUMIFS($F$7:$F$222,$B$7:$B$222,$B239)</f>
        <v/>
      </c>
      <c r="G239" s="7">
        <f>SUMIFS($G$7:$G$222,$B$7:$B$222,$B239)</f>
        <v/>
      </c>
      <c r="H239" s="7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7">
        <f>SUMIFS($D$7:$D$222,$B$7:$B$222,$B240)</f>
        <v/>
      </c>
      <c r="E240" s="7">
        <f>SUMIFS($E$7:$E$222,$B$7:$B$222,$B240)</f>
        <v/>
      </c>
      <c r="F240" s="7">
        <f>SUMIFS($F$7:$F$222,$B$7:$B$222,$B240)</f>
        <v/>
      </c>
      <c r="G240" s="7">
        <f>SUMIFS($G$7:$G$222,$B$7:$B$222,$B240)</f>
        <v/>
      </c>
      <c r="H240" s="7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7">
        <f>SUMIFS($D$7:$D$222,$B$7:$B$222,$B241)</f>
        <v/>
      </c>
      <c r="E241" s="7">
        <f>SUMIFS($E$7:$E$222,$B$7:$B$222,$B241)</f>
        <v/>
      </c>
      <c r="F241" s="7">
        <f>SUMIFS($F$7:$F$222,$B$7:$B$222,$B241)</f>
        <v/>
      </c>
      <c r="G241" s="7">
        <f>SUMIFS($G$7:$G$222,$B$7:$B$222,$B241)</f>
        <v/>
      </c>
      <c r="H241" s="7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7">
        <f>SUMIFS($D$7:$D$222,$B$7:$B$222,$B242)</f>
        <v/>
      </c>
      <c r="E242" s="7">
        <f>SUMIFS($E$7:$E$222,$B$7:$B$222,$B242)</f>
        <v/>
      </c>
      <c r="F242" s="7">
        <f>SUMIFS($F$7:$F$222,$B$7:$B$222,$B242)</f>
        <v/>
      </c>
      <c r="G242" s="7">
        <f>SUMIFS($G$7:$G$222,$B$7:$B$222,$B242)</f>
        <v/>
      </c>
      <c r="H242" s="7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7">
        <f>SUMIFS($D$7:$D$222,$B$7:$B$222,$B243)</f>
        <v/>
      </c>
      <c r="E243" s="7">
        <f>SUMIFS($E$7:$E$222,$B$7:$B$222,$B243)</f>
        <v/>
      </c>
      <c r="F243" s="7">
        <f>SUMIFS($F$7:$F$222,$B$7:$B$222,$B243)</f>
        <v/>
      </c>
      <c r="G243" s="7">
        <f>SUMIFS($G$7:$G$222,$B$7:$B$222,$B243)</f>
        <v/>
      </c>
      <c r="H243" s="7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7">
        <f>SUMIFS($D$7:$D$222,$B$7:$B$222,$B244)</f>
        <v/>
      </c>
      <c r="E244" s="7">
        <f>SUMIFS($E$7:$E$222,$B$7:$B$222,$B244)</f>
        <v/>
      </c>
      <c r="F244" s="7">
        <f>SUMIFS($F$7:$F$222,$B$7:$B$222,$B244)</f>
        <v/>
      </c>
      <c r="G244" s="7">
        <f>SUMIFS($G$7:$G$222,$B$7:$B$222,$B244)</f>
        <v/>
      </c>
      <c r="H244" s="7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7">
        <f>SUMIFS($D$7:$D$222,$B$7:$B$222,$B245)</f>
        <v/>
      </c>
      <c r="E245" s="7">
        <f>SUMIFS($E$7:$E$222,$B$7:$B$222,$B245)</f>
        <v/>
      </c>
      <c r="F245" s="7">
        <f>SUMIFS($F$7:$F$222,$B$7:$B$222,$B245)</f>
        <v/>
      </c>
      <c r="G245" s="7">
        <f>SUMIFS($G$7:$G$222,$B$7:$B$222,$B245)</f>
        <v/>
      </c>
      <c r="H245" s="7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7">
        <f>SUMIFS($D$7:$D$222,$B$7:$B$222,$B246)</f>
        <v/>
      </c>
      <c r="E246" s="7">
        <f>SUMIFS($E$7:$E$222,$B$7:$B$222,$B246)</f>
        <v/>
      </c>
      <c r="F246" s="7">
        <f>SUMIFS($F$7:$F$222,$B$7:$B$222,$B246)</f>
        <v/>
      </c>
      <c r="G246" s="7">
        <f>SUMIFS($G$7:$G$222,$B$7:$B$222,$B246)</f>
        <v/>
      </c>
      <c r="H246" s="7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7">
        <f>SUMIFS($D$7:$D$222,$B$7:$B$222,$B247)</f>
        <v/>
      </c>
      <c r="E247" s="7">
        <f>SUMIFS($E$7:$E$222,$B$7:$B$222,$B247)</f>
        <v/>
      </c>
      <c r="F247" s="7">
        <f>SUMIFS($F$7:$F$222,$B$7:$B$222,$B247)</f>
        <v/>
      </c>
      <c r="G247" s="7">
        <f>SUMIFS($G$7:$G$222,$B$7:$B$222,$B247)</f>
        <v/>
      </c>
      <c r="H247" s="7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7">
        <f>SUMIFS($D$7:$D$222,$B$7:$B$222,$B248)</f>
        <v/>
      </c>
      <c r="E248" s="7">
        <f>SUMIFS($E$7:$E$222,$B$7:$B$222,$B248)</f>
        <v/>
      </c>
      <c r="F248" s="7">
        <f>SUMIFS($F$7:$F$222,$B$7:$B$222,$B248)</f>
        <v/>
      </c>
      <c r="G248" s="7">
        <f>SUMIFS($G$7:$G$222,$B$7:$B$222,$B248)</f>
        <v/>
      </c>
      <c r="H248" s="7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7">
        <f>SUMIFS($D$7:$D$222,$B$7:$B$222,$B249)</f>
        <v/>
      </c>
      <c r="E249" s="7">
        <f>SUMIFS($E$7:$E$222,$B$7:$B$222,$B249)</f>
        <v/>
      </c>
      <c r="F249" s="7">
        <f>SUMIFS($F$7:$F$222,$B$7:$B$222,$B249)</f>
        <v/>
      </c>
      <c r="G249" s="7">
        <f>SUMIFS($G$7:$G$222,$B$7:$B$222,$B249)</f>
        <v/>
      </c>
      <c r="H249" s="7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7">
        <f>SUMIFS($D$7:$D$222,$B$7:$B$222,$B250)</f>
        <v/>
      </c>
      <c r="E250" s="7">
        <f>SUMIFS($E$7:$E$222,$B$7:$B$222,$B250)</f>
        <v/>
      </c>
      <c r="F250" s="7">
        <f>SUMIFS($F$7:$F$222,$B$7:$B$222,$B250)</f>
        <v/>
      </c>
      <c r="G250" s="7">
        <f>SUMIFS($G$7:$G$222,$B$7:$B$222,$B250)</f>
        <v/>
      </c>
      <c r="H250" s="7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7">
        <f>SUMIFS($D$7:$D$222,$B$7:$B$222,$B251)</f>
        <v/>
      </c>
      <c r="E251" s="7">
        <f>SUMIFS($E$7:$E$222,$B$7:$B$222,$B251)</f>
        <v/>
      </c>
      <c r="F251" s="7">
        <f>SUMIFS($F$7:$F$222,$B$7:$B$222,$B251)</f>
        <v/>
      </c>
      <c r="G251" s="7">
        <f>SUMIFS($G$7:$G$222,$B$7:$B$222,$B251)</f>
        <v/>
      </c>
      <c r="H251" s="7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7">
        <f>SUMIFS($D$7:$D$222,$B$7:$B$222,$B252)</f>
        <v/>
      </c>
      <c r="E252" s="7">
        <f>SUMIFS($E$7:$E$222,$B$7:$B$222,$B252)</f>
        <v/>
      </c>
      <c r="F252" s="7">
        <f>SUMIFS($F$7:$F$222,$B$7:$B$222,$B252)</f>
        <v/>
      </c>
      <c r="G252" s="7">
        <f>SUMIFS($G$7:$G$222,$B$7:$B$222,$B252)</f>
        <v/>
      </c>
      <c r="H252" s="7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7">
        <f>SUMIFS($D$7:$D$222,$B$7:$B$222,$B253)</f>
        <v/>
      </c>
      <c r="E253" s="7">
        <f>SUMIFS($E$7:$E$222,$B$7:$B$222,$B253)</f>
        <v/>
      </c>
      <c r="F253" s="7">
        <f>SUMIFS($F$7:$F$222,$B$7:$B$222,$B253)</f>
        <v/>
      </c>
      <c r="G253" s="7">
        <f>SUMIFS($G$7:$G$222,$B$7:$B$222,$B253)</f>
        <v/>
      </c>
      <c r="H253" s="7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7">
        <f>SUMIFS($D$7:$D$222,$B$7:$B$222,$B254)</f>
        <v/>
      </c>
      <c r="E254" s="7">
        <f>SUMIFS($E$7:$E$222,$B$7:$B$222,$B254)</f>
        <v/>
      </c>
      <c r="F254" s="7">
        <f>SUMIFS($F$7:$F$222,$B$7:$B$222,$B254)</f>
        <v/>
      </c>
      <c r="G254" s="7">
        <f>SUMIFS($G$7:$G$222,$B$7:$B$222,$B254)</f>
        <v/>
      </c>
      <c r="H254" s="7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7">
        <f>SUMIFS($D$7:$D$222,$B$7:$B$222,$B255)</f>
        <v/>
      </c>
      <c r="E255" s="7">
        <f>SUMIFS($E$7:$E$222,$B$7:$B$222,$B255)</f>
        <v/>
      </c>
      <c r="F255" s="7">
        <f>SUMIFS($F$7:$F$222,$B$7:$B$222,$B255)</f>
        <v/>
      </c>
      <c r="G255" s="7">
        <f>SUMIFS($G$7:$G$222,$B$7:$B$222,$B255)</f>
        <v/>
      </c>
      <c r="H255" s="7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7">
        <f>SUMIFS($D$7:$D$222,$B$7:$B$222,$B256)</f>
        <v/>
      </c>
      <c r="E256" s="7">
        <f>SUMIFS($E$7:$E$222,$B$7:$B$222,$B256)</f>
        <v/>
      </c>
      <c r="F256" s="7">
        <f>SUMIFS($F$7:$F$222,$B$7:$B$222,$B256)</f>
        <v/>
      </c>
      <c r="G256" s="7">
        <f>SUMIFS($G$7:$G$222,$B$7:$B$222,$B256)</f>
        <v/>
      </c>
      <c r="H256" s="7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7">
        <f>SUMIFS($D$7:$D$222,$B$7:$B$222,$B257)</f>
        <v/>
      </c>
      <c r="E257" s="7">
        <f>SUMIFS($E$7:$E$222,$B$7:$B$222,$B257)</f>
        <v/>
      </c>
      <c r="F257" s="7">
        <f>SUMIFS($F$7:$F$222,$B$7:$B$222,$B257)</f>
        <v/>
      </c>
      <c r="G257" s="7">
        <f>SUMIFS($G$7:$G$222,$B$7:$B$222,$B257)</f>
        <v/>
      </c>
      <c r="H257" s="7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7" t="n">
        <v>186</v>
      </c>
      <c r="E262" s="7" t="n">
        <v>14.25</v>
      </c>
      <c r="F262" s="7" t="n">
        <v>0</v>
      </c>
      <c r="G262" s="7" t="n">
        <v>0</v>
      </c>
      <c r="H262" s="7" t="n">
        <v>200.25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7" t="n">
        <v>31.75</v>
      </c>
      <c r="E263" s="7" t="n">
        <v>0</v>
      </c>
      <c r="F263" s="7" t="n">
        <v>0</v>
      </c>
      <c r="G263" s="7" t="n">
        <v>0</v>
      </c>
      <c r="H263" s="7" t="n">
        <v>31.75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7" t="n">
        <v>32.5</v>
      </c>
      <c r="E264" s="7" t="n">
        <v>0</v>
      </c>
      <c r="F264" s="7" t="n">
        <v>0</v>
      </c>
      <c r="G264" s="7" t="n">
        <v>0</v>
      </c>
      <c r="H264" s="7" t="n">
        <v>32.5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7" t="n">
        <v>452.5</v>
      </c>
      <c r="E265" s="7" t="n">
        <v>6.75</v>
      </c>
      <c r="F265" s="7" t="n">
        <v>0</v>
      </c>
      <c r="G265" s="7" t="n">
        <v>0</v>
      </c>
      <c r="H265" s="7" t="n">
        <v>459.25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7" t="n">
        <v>850</v>
      </c>
      <c r="E266" s="7" t="n">
        <v>5.75</v>
      </c>
      <c r="F266" s="7" t="n">
        <v>0</v>
      </c>
      <c r="G266" s="7" t="n">
        <v>0</v>
      </c>
      <c r="H266" s="7" t="n">
        <v>855.75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7" t="n">
        <v>65.5</v>
      </c>
      <c r="E267" s="7" t="n">
        <v>0</v>
      </c>
      <c r="F267" s="7" t="n">
        <v>0</v>
      </c>
      <c r="G267" s="7" t="n">
        <v>0</v>
      </c>
      <c r="H267" s="7" t="n">
        <v>65.5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7" t="n">
        <v>32.25</v>
      </c>
      <c r="E268" s="7" t="n">
        <v>0</v>
      </c>
      <c r="F268" s="7" t="n">
        <v>0</v>
      </c>
      <c r="G268" s="7" t="n">
        <v>0</v>
      </c>
      <c r="H268" s="7" t="n">
        <v>32.25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7" t="n">
        <v>30.75</v>
      </c>
      <c r="E269" s="7" t="n">
        <v>0</v>
      </c>
      <c r="F269" s="7" t="n">
        <v>0</v>
      </c>
      <c r="G269" s="7" t="n">
        <v>0</v>
      </c>
      <c r="H269" s="7" t="n">
        <v>30.75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7" t="n">
        <v>39.5</v>
      </c>
      <c r="E270" s="7" t="n">
        <v>7.75</v>
      </c>
      <c r="F270" s="7" t="n">
        <v>0</v>
      </c>
      <c r="G270" s="7" t="n">
        <v>0</v>
      </c>
      <c r="H270" s="7" t="n">
        <v>47.25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7" t="n">
        <v>32.25</v>
      </c>
      <c r="E271" s="7" t="n">
        <v>0</v>
      </c>
      <c r="F271" s="7" t="n">
        <v>0</v>
      </c>
      <c r="G271" s="7" t="n">
        <v>0</v>
      </c>
      <c r="H271" s="7" t="n">
        <v>32.25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7" t="n">
        <v>53</v>
      </c>
      <c r="E272" s="7" t="n">
        <v>0</v>
      </c>
      <c r="F272" s="7" t="n">
        <v>0</v>
      </c>
      <c r="G272" s="7" t="n">
        <v>0</v>
      </c>
      <c r="H272" s="7" t="n">
        <v>53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7" t="n">
        <v>165.25</v>
      </c>
      <c r="E273" s="7" t="n">
        <v>41.75</v>
      </c>
      <c r="F273" s="7" t="n">
        <v>8.5</v>
      </c>
      <c r="G273" s="7" t="n">
        <v>48</v>
      </c>
      <c r="H273" s="7" t="n">
        <v>263.5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7" t="n">
        <v>33.25</v>
      </c>
      <c r="E274" s="7" t="n">
        <v>32.25</v>
      </c>
      <c r="F274" s="7" t="n">
        <v>0</v>
      </c>
      <c r="G274" s="7" t="n">
        <v>8</v>
      </c>
      <c r="H274" s="7" t="n">
        <v>73.5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7" t="n">
        <v>322.5</v>
      </c>
      <c r="E275" s="7" t="n">
        <v>61.75</v>
      </c>
      <c r="F275" s="7" t="n">
        <v>0</v>
      </c>
      <c r="G275" s="7" t="n">
        <v>108</v>
      </c>
      <c r="H275" s="7" t="n">
        <v>492.25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7" t="n">
        <v>659.75</v>
      </c>
      <c r="E276" s="7" t="n">
        <v>93</v>
      </c>
      <c r="F276" s="7" t="n">
        <v>0</v>
      </c>
      <c r="G276" s="7" t="n">
        <v>200</v>
      </c>
      <c r="H276" s="7" t="n">
        <v>952.75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7" t="n">
        <v>1191.25</v>
      </c>
      <c r="E277" s="7" t="n">
        <v>69</v>
      </c>
      <c r="F277" s="7" t="n">
        <v>0</v>
      </c>
      <c r="G277" s="7" t="n">
        <v>392</v>
      </c>
      <c r="H277" s="7" t="n">
        <v>1652.25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7" t="n">
        <v>122.5</v>
      </c>
      <c r="E278" s="7" t="n">
        <v>24.75</v>
      </c>
      <c r="F278" s="7" t="n">
        <v>0</v>
      </c>
      <c r="G278" s="7" t="n">
        <v>72</v>
      </c>
      <c r="H278" s="7" t="n">
        <v>219.25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7" t="n">
        <v>116.75</v>
      </c>
      <c r="E279" s="7" t="n">
        <v>13</v>
      </c>
      <c r="F279" s="7" t="n">
        <v>7.75</v>
      </c>
      <c r="G279" s="7" t="n">
        <v>32</v>
      </c>
      <c r="H279" s="7" t="n">
        <v>169.5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7" t="n">
        <v>2094.25</v>
      </c>
      <c r="E284" s="7" t="n">
        <v>74.75</v>
      </c>
      <c r="F284" s="7" t="n">
        <v>0</v>
      </c>
      <c r="G284" s="7" t="n">
        <v>392</v>
      </c>
      <c r="H284" s="7" t="n">
        <v>2561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7" t="n">
        <v>1240.25</v>
      </c>
      <c r="E285" s="7" t="n">
        <v>132</v>
      </c>
      <c r="F285" s="7" t="n">
        <v>0</v>
      </c>
      <c r="G285" s="7" t="n">
        <v>208</v>
      </c>
      <c r="H285" s="7" t="n">
        <v>1580.25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7" t="n">
        <v>149</v>
      </c>
      <c r="E286" s="7" t="n">
        <v>13</v>
      </c>
      <c r="F286" s="7" t="n">
        <v>7.75</v>
      </c>
      <c r="G286" s="7" t="n">
        <v>32</v>
      </c>
      <c r="H286" s="7" t="n">
        <v>201.75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7" t="n">
        <v>351.25</v>
      </c>
      <c r="E287" s="7" t="n">
        <v>56</v>
      </c>
      <c r="F287" s="7" t="n">
        <v>8.5</v>
      </c>
      <c r="G287" s="7" t="n">
        <v>48</v>
      </c>
      <c r="H287" s="7" t="n">
        <v>463.75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7" t="n">
        <v>188</v>
      </c>
      <c r="E288" s="7" t="n">
        <v>24.75</v>
      </c>
      <c r="F288" s="7" t="n">
        <v>0</v>
      </c>
      <c r="G288" s="7" t="n">
        <v>72</v>
      </c>
      <c r="H288" s="7" t="n">
        <v>284.75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7" t="n">
        <v>394.5</v>
      </c>
      <c r="E289" s="7" t="n">
        <v>69.5</v>
      </c>
      <c r="F289" s="7" t="n">
        <v>0</v>
      </c>
      <c r="G289" s="7" t="n">
        <v>108</v>
      </c>
      <c r="H289" s="7" t="n">
        <v>572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7">
        <f>SUM($D$7:$D$222)-D295</f>
        <v/>
      </c>
      <c r="E294" s="7">
        <f>SUM($E$7:$E$222)-E295</f>
        <v/>
      </c>
      <c r="F294" s="7">
        <f>SUM($F$7:$F$222)-F295</f>
        <v/>
      </c>
      <c r="G294" s="7">
        <f>SUM($G$7:$G$222)-G295</f>
        <v/>
      </c>
      <c r="H294" s="7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7">
        <f>SUMPRODUCT((LEFT($B$7:$B$222,2)="A-")*($D$7:$D$222))</f>
        <v/>
      </c>
      <c r="E295" s="7">
        <f>SUMPRODUCT((LEFT($B$7:$B$222,2)="A-")*($E$7:$E$222))</f>
        <v/>
      </c>
      <c r="F295" s="7">
        <f>SUMPRODUCT((LEFT($B$7:$B$222,2)="A-")*($F$7:$F$222))</f>
        <v/>
      </c>
      <c r="G295" s="7">
        <f>SUMPRODUCT((LEFT($B$7:$B$222,2)="A-")*($G$7:$G$222))</f>
        <v/>
      </c>
      <c r="H295" s="7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7">
        <f>D294+D295</f>
        <v/>
      </c>
      <c r="E296" s="7">
        <f>E294+E295</f>
        <v/>
      </c>
      <c r="F296" s="7">
        <f>F294+F295</f>
        <v/>
      </c>
      <c r="G296" s="7">
        <f>G294+G295</f>
        <v/>
      </c>
      <c r="H296" s="7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7">
        <f>SUM($J$7:$J$222)-J302</f>
        <v/>
      </c>
      <c r="K301" s="7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7">
        <f>SUMPRODUCT((LEFT($B$7:$B$222,2)="A-")*($J$7:$J$222))</f>
        <v/>
      </c>
      <c r="K302" s="7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7">
        <f>J301+J302</f>
        <v/>
      </c>
      <c r="K303" s="7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3</t>
        </is>
      </c>
    </row>
    <row r="2">
      <c r="A2" s="2" t="inlineStr"/>
    </row>
    <row r="4">
      <c r="A4" s="3" t="inlineStr">
        <is>
          <t>Week 3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35.25</v>
      </c>
      <c r="E7" s="7" t="n">
        <v>0</v>
      </c>
      <c r="F7" s="7" t="n">
        <v>0</v>
      </c>
      <c r="G7" s="7" t="n">
        <v>0</v>
      </c>
      <c r="H7" s="7" t="n">
        <v>35.25</v>
      </c>
      <c r="I7" s="7" t="n">
        <v>0</v>
      </c>
      <c r="J7" s="7" t="n">
        <v>35.25</v>
      </c>
      <c r="K7" s="7" t="n">
        <v>4.25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7" t="n">
        <v>32.5</v>
      </c>
      <c r="E10" s="7" t="n">
        <v>8.25</v>
      </c>
      <c r="F10" s="7" t="n">
        <v>0</v>
      </c>
      <c r="G10" s="7" t="n">
        <v>0</v>
      </c>
      <c r="H10" s="7" t="n">
        <v>40.75</v>
      </c>
      <c r="I10" s="7" t="n">
        <v>0</v>
      </c>
      <c r="J10" s="7" t="n">
        <v>40.75</v>
      </c>
      <c r="K10" s="7" t="n">
        <v>4.92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7" t="n">
        <v>31.75</v>
      </c>
      <c r="E11" s="7" t="n">
        <v>0</v>
      </c>
      <c r="F11" s="7" t="n">
        <v>0</v>
      </c>
      <c r="G11" s="7" t="n">
        <v>0</v>
      </c>
      <c r="H11" s="7" t="n">
        <v>31.75</v>
      </c>
      <c r="I11" s="7" t="n">
        <v>0</v>
      </c>
      <c r="J11" s="7" t="n">
        <v>31.75</v>
      </c>
      <c r="K11" s="7" t="n">
        <v>3.83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7" t="n">
        <v>35.25</v>
      </c>
      <c r="E13" s="7" t="n">
        <v>0</v>
      </c>
      <c r="F13" s="7" t="n">
        <v>0</v>
      </c>
      <c r="G13" s="7" t="n">
        <v>0</v>
      </c>
      <c r="H13" s="7" t="n">
        <v>35.25</v>
      </c>
      <c r="I13" s="7" t="n">
        <v>0</v>
      </c>
      <c r="J13" s="7" t="n">
        <v>35.25</v>
      </c>
      <c r="K13" s="7" t="n">
        <v>4.25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7" t="n">
        <v>39.5</v>
      </c>
      <c r="E15" s="7" t="n">
        <v>0</v>
      </c>
      <c r="F15" s="7" t="n">
        <v>0</v>
      </c>
      <c r="G15" s="7" t="n">
        <v>0</v>
      </c>
      <c r="H15" s="7" t="n">
        <v>39.5</v>
      </c>
      <c r="I15" s="7" t="n">
        <v>0</v>
      </c>
      <c r="J15" s="7" t="n">
        <v>39.5</v>
      </c>
      <c r="K15" s="7" t="n">
        <v>4.77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7" t="n">
        <v>25.25</v>
      </c>
      <c r="E16" s="7" t="n">
        <v>7</v>
      </c>
      <c r="F16" s="7" t="n">
        <v>0</v>
      </c>
      <c r="G16" s="7" t="n">
        <v>0</v>
      </c>
      <c r="H16" s="7" t="n">
        <v>32.25</v>
      </c>
      <c r="I16" s="7" t="n">
        <v>0</v>
      </c>
      <c r="J16" s="7" t="n">
        <v>32.25</v>
      </c>
      <c r="K16" s="7" t="n">
        <v>3.89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7" t="n">
        <v>7.5</v>
      </c>
      <c r="E18" s="7" t="n">
        <v>0</v>
      </c>
      <c r="F18" s="7" t="n">
        <v>0</v>
      </c>
      <c r="G18" s="7" t="n">
        <v>0</v>
      </c>
      <c r="H18" s="7" t="n">
        <v>7.5</v>
      </c>
      <c r="I18" s="7" t="n">
        <v>0</v>
      </c>
      <c r="J18" s="7" t="n">
        <v>7.5</v>
      </c>
      <c r="K18" s="7" t="n">
        <v>0.91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7" t="n">
        <v>40.5</v>
      </c>
      <c r="E19" s="7" t="n">
        <v>0</v>
      </c>
      <c r="F19" s="7" t="n">
        <v>0</v>
      </c>
      <c r="G19" s="7" t="n">
        <v>0</v>
      </c>
      <c r="H19" s="7" t="n">
        <v>40.5</v>
      </c>
      <c r="I19" s="7" t="n">
        <v>0</v>
      </c>
      <c r="J19" s="7" t="n">
        <v>40.5</v>
      </c>
      <c r="K19" s="7" t="n">
        <v>4.89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RUTIKABEN VADDORIYA EOLL</t>
        </is>
      </c>
      <c r="B25" s="6" t="inlineStr">
        <is>
          <t>A-EL PKNG HIGH_RISK</t>
        </is>
      </c>
      <c r="C25" s="7" t="n">
        <v>1515</v>
      </c>
      <c r="D25" s="7" t="n">
        <v>29</v>
      </c>
      <c r="E25" s="7" t="n">
        <v>0</v>
      </c>
      <c r="F25" s="7" t="n">
        <v>0</v>
      </c>
      <c r="G25" s="7" t="n">
        <v>0</v>
      </c>
      <c r="H25" s="7" t="n">
        <v>29</v>
      </c>
      <c r="I25" s="7" t="n">
        <v>0</v>
      </c>
      <c r="J25" s="7" t="n">
        <v>29</v>
      </c>
      <c r="K25" s="7" t="n">
        <v>3.5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7" t="n">
        <v>21.25</v>
      </c>
      <c r="E28" s="7" t="n">
        <v>0</v>
      </c>
      <c r="F28" s="7" t="n">
        <v>0</v>
      </c>
      <c r="G28" s="7" t="n">
        <v>0</v>
      </c>
      <c r="H28" s="7" t="n">
        <v>21.25</v>
      </c>
      <c r="I28" s="7" t="n">
        <v>0</v>
      </c>
      <c r="J28" s="7" t="n">
        <v>21.25</v>
      </c>
      <c r="K28" s="7" t="n">
        <v>2.56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7" t="n">
        <v>30.75</v>
      </c>
      <c r="E32" s="7" t="n">
        <v>0</v>
      </c>
      <c r="F32" s="7" t="n">
        <v>0</v>
      </c>
      <c r="G32" s="7" t="n">
        <v>0</v>
      </c>
      <c r="H32" s="7" t="n">
        <v>30.75</v>
      </c>
      <c r="I32" s="7" t="n">
        <v>0</v>
      </c>
      <c r="J32" s="7" t="n">
        <v>30.75</v>
      </c>
      <c r="K32" s="7" t="n">
        <v>3.71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7" t="n">
        <v>15.75</v>
      </c>
      <c r="E33" s="7" t="n">
        <v>0</v>
      </c>
      <c r="F33" s="7" t="n">
        <v>0</v>
      </c>
      <c r="G33" s="7" t="n">
        <v>0</v>
      </c>
      <c r="H33" s="7" t="n">
        <v>15.75</v>
      </c>
      <c r="I33" s="7" t="n">
        <v>0</v>
      </c>
      <c r="J33" s="7" t="n">
        <v>15.75</v>
      </c>
      <c r="K33" s="7" t="n">
        <v>1.9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7" t="n">
        <v>30</v>
      </c>
      <c r="E37" s="7" t="n">
        <v>0</v>
      </c>
      <c r="F37" s="7" t="n">
        <v>0</v>
      </c>
      <c r="G37" s="7" t="n">
        <v>0</v>
      </c>
      <c r="H37" s="7" t="n">
        <v>30</v>
      </c>
      <c r="I37" s="7" t="n">
        <v>0</v>
      </c>
      <c r="J37" s="7" t="n">
        <v>30</v>
      </c>
      <c r="K37" s="7" t="n">
        <v>3.62</v>
      </c>
    </row>
    <row r="38">
      <c r="A38" s="6" t="inlineStr">
        <is>
          <t>PARSHOTAM PRADIPKUMAR EOLL</t>
        </is>
      </c>
      <c r="B38" s="6" t="inlineStr">
        <is>
          <t>A-EL PKNG HIGH_RISK</t>
        </is>
      </c>
      <c r="C38" s="7" t="n">
        <v>1426</v>
      </c>
      <c r="D38" s="7" t="n">
        <v>28</v>
      </c>
      <c r="E38" s="7" t="n">
        <v>0</v>
      </c>
      <c r="F38" s="7" t="n">
        <v>0</v>
      </c>
      <c r="G38" s="7" t="n">
        <v>0</v>
      </c>
      <c r="H38" s="7" t="n">
        <v>28</v>
      </c>
      <c r="I38" s="7" t="n">
        <v>0</v>
      </c>
      <c r="J38" s="7" t="n">
        <v>28</v>
      </c>
      <c r="K38" s="7" t="n">
        <v>3.38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7" t="n">
        <v>21.25</v>
      </c>
      <c r="E39" s="7" t="n">
        <v>4.5</v>
      </c>
      <c r="F39" s="7" t="n">
        <v>0</v>
      </c>
      <c r="G39" s="7" t="n">
        <v>0</v>
      </c>
      <c r="H39" s="7" t="n">
        <v>25.75</v>
      </c>
      <c r="I39" s="7" t="n">
        <v>0</v>
      </c>
      <c r="J39" s="7" t="n">
        <v>25.75</v>
      </c>
      <c r="K39" s="7" t="n">
        <v>3.11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7" t="n">
        <v>7.5</v>
      </c>
      <c r="E41" s="7" t="n">
        <v>0</v>
      </c>
      <c r="F41" s="7" t="n">
        <v>0</v>
      </c>
      <c r="G41" s="7" t="n">
        <v>0</v>
      </c>
      <c r="H41" s="7" t="n">
        <v>7.5</v>
      </c>
      <c r="I41" s="7" t="n">
        <v>0</v>
      </c>
      <c r="J41" s="7" t="n">
        <v>7.5</v>
      </c>
      <c r="K41" s="7" t="n">
        <v>0.91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7" t="n">
        <v>7.75</v>
      </c>
      <c r="E43" s="7" t="n">
        <v>0</v>
      </c>
      <c r="F43" s="7" t="n">
        <v>0</v>
      </c>
      <c r="G43" s="7" t="n">
        <v>0</v>
      </c>
      <c r="H43" s="7" t="n">
        <v>7.75</v>
      </c>
      <c r="I43" s="7" t="n">
        <v>0</v>
      </c>
      <c r="J43" s="7" t="n">
        <v>7.75</v>
      </c>
      <c r="K43" s="7" t="n">
        <v>0.9399999999999999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7" t="n">
        <v>21.5</v>
      </c>
      <c r="E44" s="7" t="n">
        <v>4.5</v>
      </c>
      <c r="F44" s="7" t="n">
        <v>0</v>
      </c>
      <c r="G44" s="7" t="n">
        <v>0</v>
      </c>
      <c r="H44" s="7" t="n">
        <v>26</v>
      </c>
      <c r="I44" s="7" t="n">
        <v>0</v>
      </c>
      <c r="J44" s="7" t="n">
        <v>26</v>
      </c>
      <c r="K44" s="7" t="n">
        <v>3.14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7" t="n">
        <v>20.5</v>
      </c>
      <c r="E45" s="7" t="n">
        <v>0</v>
      </c>
      <c r="F45" s="7" t="n">
        <v>0</v>
      </c>
      <c r="G45" s="7" t="n">
        <v>0</v>
      </c>
      <c r="H45" s="7" t="n">
        <v>20.5</v>
      </c>
      <c r="I45" s="7" t="n">
        <v>0</v>
      </c>
      <c r="J45" s="7" t="n">
        <v>20.5</v>
      </c>
      <c r="K45" s="7" t="n">
        <v>2.47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7" t="n">
        <v>34.75</v>
      </c>
      <c r="E46" s="7" t="n">
        <v>7.5</v>
      </c>
      <c r="F46" s="7" t="n">
        <v>0</v>
      </c>
      <c r="G46" s="7" t="n">
        <v>0</v>
      </c>
      <c r="H46" s="7" t="n">
        <v>42.25</v>
      </c>
      <c r="I46" s="7" t="n">
        <v>0</v>
      </c>
      <c r="J46" s="7" t="n">
        <v>42.25</v>
      </c>
      <c r="K46" s="7" t="n">
        <v>5.1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7" t="n">
        <v>15.25</v>
      </c>
      <c r="E48" s="7" t="n">
        <v>0</v>
      </c>
      <c r="F48" s="7" t="n">
        <v>0</v>
      </c>
      <c r="G48" s="7" t="n">
        <v>0</v>
      </c>
      <c r="H48" s="7" t="n">
        <v>15.25</v>
      </c>
      <c r="I48" s="7" t="n">
        <v>0</v>
      </c>
      <c r="J48" s="7" t="n">
        <v>15.25</v>
      </c>
      <c r="K48" s="7" t="n">
        <v>1.84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7" t="n">
        <v>28.5</v>
      </c>
      <c r="E51" s="7" t="n">
        <v>0</v>
      </c>
      <c r="F51" s="7" t="n">
        <v>0</v>
      </c>
      <c r="G51" s="7" t="n">
        <v>0</v>
      </c>
      <c r="H51" s="7" t="n">
        <v>28.5</v>
      </c>
      <c r="I51" s="7" t="n">
        <v>0</v>
      </c>
      <c r="J51" s="7" t="n">
        <v>28.5</v>
      </c>
      <c r="K51" s="7" t="n">
        <v>3.44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7" t="n">
        <v>38.25</v>
      </c>
      <c r="E52" s="7" t="n">
        <v>0</v>
      </c>
      <c r="F52" s="7" t="n">
        <v>0</v>
      </c>
      <c r="G52" s="7" t="n">
        <v>0</v>
      </c>
      <c r="H52" s="7" t="n">
        <v>38.25</v>
      </c>
      <c r="I52" s="7" t="n">
        <v>0</v>
      </c>
      <c r="J52" s="7" t="n">
        <v>38.25</v>
      </c>
      <c r="K52" s="7" t="n">
        <v>4.62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7" t="n">
        <v>15</v>
      </c>
      <c r="E53" s="7" t="n">
        <v>0</v>
      </c>
      <c r="F53" s="7" t="n">
        <v>0</v>
      </c>
      <c r="G53" s="7" t="n">
        <v>0</v>
      </c>
      <c r="H53" s="7" t="n">
        <v>15</v>
      </c>
      <c r="I53" s="7" t="n">
        <v>0</v>
      </c>
      <c r="J53" s="7" t="n">
        <v>15</v>
      </c>
      <c r="K53" s="7" t="n">
        <v>1.81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7" t="n">
        <v>19.75</v>
      </c>
      <c r="E54" s="7" t="n">
        <v>0</v>
      </c>
      <c r="F54" s="7" t="n">
        <v>0</v>
      </c>
      <c r="G54" s="7" t="n">
        <v>0</v>
      </c>
      <c r="H54" s="7" t="n">
        <v>19.75</v>
      </c>
      <c r="I54" s="7" t="n">
        <v>0</v>
      </c>
      <c r="J54" s="7" t="n">
        <v>19.75</v>
      </c>
      <c r="K54" s="7" t="n">
        <v>2.38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7" t="n">
        <v>21.5</v>
      </c>
      <c r="E55" s="7" t="n">
        <v>0</v>
      </c>
      <c r="F55" s="7" t="n">
        <v>0</v>
      </c>
      <c r="G55" s="7" t="n">
        <v>0</v>
      </c>
      <c r="H55" s="7" t="n">
        <v>21.5</v>
      </c>
      <c r="I55" s="7" t="n">
        <v>0</v>
      </c>
      <c r="J55" s="7" t="n">
        <v>21.5</v>
      </c>
      <c r="K55" s="7" t="n">
        <v>2.6</v>
      </c>
    </row>
    <row r="56">
      <c r="A56" s="6" t="inlineStr">
        <is>
          <t>ANGELO VAZ EOLL</t>
        </is>
      </c>
      <c r="B56" s="6" t="inlineStr">
        <is>
          <t>A-EL PKNG SLEEVING</t>
        </is>
      </c>
      <c r="C56" s="7" t="n">
        <v>1524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7" t="n">
        <v>7.5</v>
      </c>
      <c r="E59" s="7" t="n">
        <v>0</v>
      </c>
      <c r="F59" s="7" t="n">
        <v>0</v>
      </c>
      <c r="G59" s="7" t="n">
        <v>0</v>
      </c>
      <c r="H59" s="7" t="n">
        <v>7.5</v>
      </c>
      <c r="I59" s="7" t="n">
        <v>0</v>
      </c>
      <c r="J59" s="7" t="n">
        <v>7.5</v>
      </c>
      <c r="K59" s="7" t="n">
        <v>0.91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7" t="n">
        <v>37.25</v>
      </c>
      <c r="E60" s="7" t="n">
        <v>0</v>
      </c>
      <c r="F60" s="7" t="n">
        <v>0</v>
      </c>
      <c r="G60" s="7" t="n">
        <v>0</v>
      </c>
      <c r="H60" s="7" t="n">
        <v>37.25</v>
      </c>
      <c r="I60" s="7" t="n">
        <v>0</v>
      </c>
      <c r="J60" s="7" t="n">
        <v>37.25</v>
      </c>
      <c r="K60" s="7" t="n">
        <v>4.5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7" t="n">
        <v>27.75</v>
      </c>
      <c r="E61" s="7" t="n">
        <v>0</v>
      </c>
      <c r="F61" s="7" t="n">
        <v>0</v>
      </c>
      <c r="G61" s="7" t="n">
        <v>0</v>
      </c>
      <c r="H61" s="7" t="n">
        <v>27.75</v>
      </c>
      <c r="I61" s="7" t="n">
        <v>0</v>
      </c>
      <c r="J61" s="7" t="n">
        <v>27.75</v>
      </c>
      <c r="K61" s="7" t="n">
        <v>3.35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7" t="n">
        <v>20.75</v>
      </c>
      <c r="E62" s="7" t="n">
        <v>8.25</v>
      </c>
      <c r="F62" s="7" t="n">
        <v>0</v>
      </c>
      <c r="G62" s="7" t="n">
        <v>0</v>
      </c>
      <c r="H62" s="7" t="n">
        <v>29</v>
      </c>
      <c r="I62" s="7" t="n">
        <v>0</v>
      </c>
      <c r="J62" s="7" t="n">
        <v>29</v>
      </c>
      <c r="K62" s="7" t="n">
        <v>3.5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7" t="n">
        <v>7.5</v>
      </c>
      <c r="E65" s="7" t="n">
        <v>0</v>
      </c>
      <c r="F65" s="7" t="n">
        <v>0</v>
      </c>
      <c r="G65" s="7" t="n">
        <v>0</v>
      </c>
      <c r="H65" s="7" t="n">
        <v>7.5</v>
      </c>
      <c r="I65" s="7" t="n">
        <v>0</v>
      </c>
      <c r="J65" s="7" t="n">
        <v>7.5</v>
      </c>
      <c r="K65" s="7" t="n">
        <v>0.91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7" t="n">
        <v>5.75</v>
      </c>
      <c r="E67" s="7" t="n">
        <v>0</v>
      </c>
      <c r="F67" s="7" t="n">
        <v>0</v>
      </c>
      <c r="G67" s="7" t="n">
        <v>0</v>
      </c>
      <c r="H67" s="7" t="n">
        <v>5.75</v>
      </c>
      <c r="I67" s="7" t="n">
        <v>0</v>
      </c>
      <c r="J67" s="7" t="n">
        <v>5.75</v>
      </c>
      <c r="K67" s="7" t="n">
        <v>0.6899999999999999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7" t="n">
        <v>13.5</v>
      </c>
      <c r="E70" s="7" t="n">
        <v>0</v>
      </c>
      <c r="F70" s="7" t="n">
        <v>0</v>
      </c>
      <c r="G70" s="7" t="n">
        <v>0</v>
      </c>
      <c r="H70" s="7" t="n">
        <v>13.5</v>
      </c>
      <c r="I70" s="7" t="n">
        <v>0</v>
      </c>
      <c r="J70" s="7" t="n">
        <v>13.5</v>
      </c>
      <c r="K70" s="7" t="n">
        <v>1.63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7" t="n">
        <v>21</v>
      </c>
      <c r="E71" s="7" t="n">
        <v>4.25</v>
      </c>
      <c r="F71" s="7" t="n">
        <v>0</v>
      </c>
      <c r="G71" s="7" t="n">
        <v>0</v>
      </c>
      <c r="H71" s="7" t="n">
        <v>25.25</v>
      </c>
      <c r="I71" s="7" t="n">
        <v>0</v>
      </c>
      <c r="J71" s="7" t="n">
        <v>25.25</v>
      </c>
      <c r="K71" s="7" t="n">
        <v>3.05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7" t="n">
        <v>30</v>
      </c>
      <c r="E72" s="7" t="n">
        <v>0</v>
      </c>
      <c r="F72" s="7" t="n">
        <v>0</v>
      </c>
      <c r="G72" s="7" t="n">
        <v>0</v>
      </c>
      <c r="H72" s="7" t="n">
        <v>30</v>
      </c>
      <c r="I72" s="7" t="n">
        <v>0</v>
      </c>
      <c r="J72" s="7" t="n">
        <v>30</v>
      </c>
      <c r="K72" s="7" t="n">
        <v>3.62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7" t="n">
        <v>27.25</v>
      </c>
      <c r="E73" s="7" t="n">
        <v>0</v>
      </c>
      <c r="F73" s="7" t="n">
        <v>0</v>
      </c>
      <c r="G73" s="7" t="n">
        <v>0</v>
      </c>
      <c r="H73" s="7" t="n">
        <v>27.25</v>
      </c>
      <c r="I73" s="7" t="n">
        <v>0</v>
      </c>
      <c r="J73" s="7" t="n">
        <v>27.25</v>
      </c>
      <c r="K73" s="7" t="n">
        <v>3.29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7" t="n">
        <v>21</v>
      </c>
      <c r="E76" s="7" t="n">
        <v>4.25</v>
      </c>
      <c r="F76" s="7" t="n">
        <v>0</v>
      </c>
      <c r="G76" s="7" t="n">
        <v>0</v>
      </c>
      <c r="H76" s="7" t="n">
        <v>25.25</v>
      </c>
      <c r="I76" s="7" t="n">
        <v>0</v>
      </c>
      <c r="J76" s="7" t="n">
        <v>25.25</v>
      </c>
      <c r="K76" s="7" t="n">
        <v>3.05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7" t="n">
        <v>21</v>
      </c>
      <c r="E77" s="7" t="n">
        <v>4.25</v>
      </c>
      <c r="F77" s="7" t="n">
        <v>0</v>
      </c>
      <c r="G77" s="7" t="n">
        <v>0</v>
      </c>
      <c r="H77" s="7" t="n">
        <v>25.25</v>
      </c>
      <c r="I77" s="7" t="n">
        <v>0</v>
      </c>
      <c r="J77" s="7" t="n">
        <v>25.25</v>
      </c>
      <c r="K77" s="7" t="n">
        <v>3.05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7" t="n">
        <v>21.25</v>
      </c>
      <c r="E78" s="7" t="n">
        <v>4.25</v>
      </c>
      <c r="F78" s="7" t="n">
        <v>0</v>
      </c>
      <c r="G78" s="7" t="n">
        <v>0</v>
      </c>
      <c r="H78" s="7" t="n">
        <v>25.5</v>
      </c>
      <c r="I78" s="7" t="n">
        <v>0</v>
      </c>
      <c r="J78" s="7" t="n">
        <v>25.5</v>
      </c>
      <c r="K78" s="7" t="n">
        <v>3.08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7" t="n">
        <v>21</v>
      </c>
      <c r="E79" s="7" t="n">
        <v>4.25</v>
      </c>
      <c r="F79" s="7" t="n">
        <v>0</v>
      </c>
      <c r="G79" s="7" t="n">
        <v>0</v>
      </c>
      <c r="H79" s="7" t="n">
        <v>25.25</v>
      </c>
      <c r="I79" s="7" t="n">
        <v>0</v>
      </c>
      <c r="J79" s="7" t="n">
        <v>25.25</v>
      </c>
      <c r="K79" s="7" t="n">
        <v>3.05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7" t="n">
        <v>30</v>
      </c>
      <c r="E83" s="7" t="n">
        <v>0</v>
      </c>
      <c r="F83" s="7" t="n">
        <v>0</v>
      </c>
      <c r="G83" s="7" t="n">
        <v>0</v>
      </c>
      <c r="H83" s="7" t="n">
        <v>30</v>
      </c>
      <c r="I83" s="7" t="n">
        <v>0</v>
      </c>
      <c r="J83" s="7" t="n">
        <v>30</v>
      </c>
      <c r="K83" s="7" t="n">
        <v>3.62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7" t="n">
        <v>38.75</v>
      </c>
      <c r="E85" s="7" t="n">
        <v>0</v>
      </c>
      <c r="F85" s="7" t="n">
        <v>0</v>
      </c>
      <c r="G85" s="7" t="n">
        <v>0</v>
      </c>
      <c r="H85" s="7" t="n">
        <v>38.75</v>
      </c>
      <c r="I85" s="7" t="n">
        <v>0</v>
      </c>
      <c r="J85" s="7" t="n">
        <v>38.75</v>
      </c>
      <c r="K85" s="7" t="n">
        <v>4.68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7" t="n">
        <v>13.5</v>
      </c>
      <c r="E87" s="7" t="n">
        <v>4.25</v>
      </c>
      <c r="F87" s="7" t="n">
        <v>0</v>
      </c>
      <c r="G87" s="7" t="n">
        <v>0</v>
      </c>
      <c r="H87" s="7" t="n">
        <v>17.75</v>
      </c>
      <c r="I87" s="7" t="n">
        <v>0</v>
      </c>
      <c r="J87" s="7" t="n">
        <v>17.75</v>
      </c>
      <c r="K87" s="7" t="n">
        <v>2.14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7" t="n">
        <v>7</v>
      </c>
      <c r="E89" s="7" t="n">
        <v>0</v>
      </c>
      <c r="F89" s="7" t="n">
        <v>0</v>
      </c>
      <c r="G89" s="7" t="n">
        <v>0</v>
      </c>
      <c r="H89" s="7" t="n">
        <v>7</v>
      </c>
      <c r="I89" s="7" t="n">
        <v>0</v>
      </c>
      <c r="J89" s="7" t="n">
        <v>7</v>
      </c>
      <c r="K89" s="7" t="n">
        <v>0.84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7" t="n">
        <v>16.75</v>
      </c>
      <c r="E90" s="7" t="n">
        <v>4.5</v>
      </c>
      <c r="F90" s="7" t="n">
        <v>0</v>
      </c>
      <c r="G90" s="7" t="n">
        <v>0</v>
      </c>
      <c r="H90" s="7" t="n">
        <v>21.25</v>
      </c>
      <c r="I90" s="7" t="n">
        <v>0</v>
      </c>
      <c r="J90" s="7" t="n">
        <v>21.25</v>
      </c>
      <c r="K90" s="7" t="n">
        <v>2.56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7" t="n">
        <v>21</v>
      </c>
      <c r="E93" s="7" t="n">
        <v>4.25</v>
      </c>
      <c r="F93" s="7" t="n">
        <v>0</v>
      </c>
      <c r="G93" s="7" t="n">
        <v>0</v>
      </c>
      <c r="H93" s="7" t="n">
        <v>25.25</v>
      </c>
      <c r="I93" s="7" t="n">
        <v>0</v>
      </c>
      <c r="J93" s="7" t="n">
        <v>25.25</v>
      </c>
      <c r="K93" s="7" t="n">
        <v>3.05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7" t="n">
        <v>18.25</v>
      </c>
      <c r="E94" s="7" t="n">
        <v>4.25</v>
      </c>
      <c r="F94" s="7" t="n">
        <v>0</v>
      </c>
      <c r="G94" s="7" t="n">
        <v>0</v>
      </c>
      <c r="H94" s="7" t="n">
        <v>22.5</v>
      </c>
      <c r="I94" s="7" t="n">
        <v>0</v>
      </c>
      <c r="J94" s="7" t="n">
        <v>22.5</v>
      </c>
      <c r="K94" s="7" t="n">
        <v>2.72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7" t="n">
        <v>21</v>
      </c>
      <c r="E95" s="7" t="n">
        <v>4.25</v>
      </c>
      <c r="F95" s="7" t="n">
        <v>0</v>
      </c>
      <c r="G95" s="7" t="n">
        <v>0</v>
      </c>
      <c r="H95" s="7" t="n">
        <v>25.25</v>
      </c>
      <c r="I95" s="7" t="n">
        <v>0</v>
      </c>
      <c r="J95" s="7" t="n">
        <v>25.25</v>
      </c>
      <c r="K95" s="7" t="n">
        <v>3.05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7" t="n">
        <v>21.25</v>
      </c>
      <c r="E96" s="7" t="n">
        <v>4.5</v>
      </c>
      <c r="F96" s="7" t="n">
        <v>0</v>
      </c>
      <c r="G96" s="7" t="n">
        <v>0</v>
      </c>
      <c r="H96" s="7" t="n">
        <v>25.75</v>
      </c>
      <c r="I96" s="7" t="n">
        <v>0</v>
      </c>
      <c r="J96" s="7" t="n">
        <v>25.75</v>
      </c>
      <c r="K96" s="7" t="n">
        <v>3.11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7" t="n">
        <v>24</v>
      </c>
      <c r="E97" s="7" t="n">
        <v>4.5</v>
      </c>
      <c r="F97" s="7" t="n">
        <v>0</v>
      </c>
      <c r="G97" s="7" t="n">
        <v>0</v>
      </c>
      <c r="H97" s="7" t="n">
        <v>28.5</v>
      </c>
      <c r="I97" s="7" t="n">
        <v>0</v>
      </c>
      <c r="J97" s="7" t="n">
        <v>28.5</v>
      </c>
      <c r="K97" s="7" t="n">
        <v>3.44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7" t="n">
        <v>21.5</v>
      </c>
      <c r="E98" s="7" t="n">
        <v>4.5</v>
      </c>
      <c r="F98" s="7" t="n">
        <v>0</v>
      </c>
      <c r="G98" s="7" t="n">
        <v>0</v>
      </c>
      <c r="H98" s="7" t="n">
        <v>26</v>
      </c>
      <c r="I98" s="7" t="n">
        <v>0</v>
      </c>
      <c r="J98" s="7" t="n">
        <v>26</v>
      </c>
      <c r="K98" s="7" t="n">
        <v>3.14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7" t="n">
        <v>39.5</v>
      </c>
      <c r="E99" s="7" t="n">
        <v>8.25</v>
      </c>
      <c r="F99" s="7" t="n">
        <v>0</v>
      </c>
      <c r="G99" s="7" t="n">
        <v>0</v>
      </c>
      <c r="H99" s="7" t="n">
        <v>47.75</v>
      </c>
      <c r="I99" s="7" t="n">
        <v>0</v>
      </c>
      <c r="J99" s="7" t="n">
        <v>47.75</v>
      </c>
      <c r="K99" s="7" t="n">
        <v>5.76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7" t="n">
        <v>7.5</v>
      </c>
      <c r="E100" s="7" t="n">
        <v>0</v>
      </c>
      <c r="F100" s="7" t="n">
        <v>0</v>
      </c>
      <c r="G100" s="7" t="n">
        <v>0</v>
      </c>
      <c r="H100" s="7" t="n">
        <v>7.5</v>
      </c>
      <c r="I100" s="7" t="n">
        <v>0</v>
      </c>
      <c r="J100" s="7" t="n">
        <v>7.5</v>
      </c>
      <c r="K100" s="7" t="n">
        <v>0.91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7" t="n">
        <v>40.75</v>
      </c>
      <c r="E101" s="7" t="n">
        <v>0</v>
      </c>
      <c r="F101" s="7" t="n">
        <v>0</v>
      </c>
      <c r="G101" s="7" t="n">
        <v>0</v>
      </c>
      <c r="H101" s="7" t="n">
        <v>40.75</v>
      </c>
      <c r="I101" s="7" t="n">
        <v>0</v>
      </c>
      <c r="J101" s="7" t="n">
        <v>40.75</v>
      </c>
      <c r="K101" s="7" t="n">
        <v>4.92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7" t="n">
        <v>40.75</v>
      </c>
      <c r="E102" s="7" t="n">
        <v>0</v>
      </c>
      <c r="F102" s="7" t="n">
        <v>0</v>
      </c>
      <c r="G102" s="7" t="n">
        <v>0</v>
      </c>
      <c r="H102" s="7" t="n">
        <v>40.75</v>
      </c>
      <c r="I102" s="7" t="n">
        <v>0</v>
      </c>
      <c r="J102" s="7" t="n">
        <v>40.75</v>
      </c>
      <c r="K102" s="7" t="n">
        <v>4.92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7" t="n">
        <v>16.5</v>
      </c>
      <c r="E103" s="7" t="n">
        <v>0</v>
      </c>
      <c r="F103" s="7" t="n">
        <v>0</v>
      </c>
      <c r="G103" s="7" t="n">
        <v>0</v>
      </c>
      <c r="H103" s="7" t="n">
        <v>16.5</v>
      </c>
      <c r="I103" s="7" t="n">
        <v>0</v>
      </c>
      <c r="J103" s="7" t="n">
        <v>16.5</v>
      </c>
      <c r="K103" s="7" t="n">
        <v>1.99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7" t="n">
        <v>33</v>
      </c>
      <c r="E104" s="7" t="n">
        <v>0</v>
      </c>
      <c r="F104" s="7" t="n">
        <v>0</v>
      </c>
      <c r="G104" s="7" t="n">
        <v>0</v>
      </c>
      <c r="H104" s="7" t="n">
        <v>33</v>
      </c>
      <c r="I104" s="7" t="n">
        <v>0</v>
      </c>
      <c r="J104" s="7" t="n">
        <v>33</v>
      </c>
      <c r="K104" s="7" t="n">
        <v>3.98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7" t="n">
        <v>29.5</v>
      </c>
      <c r="E105" s="7" t="n">
        <v>0</v>
      </c>
      <c r="F105" s="7" t="n">
        <v>0</v>
      </c>
      <c r="G105" s="7" t="n">
        <v>0</v>
      </c>
      <c r="H105" s="7" t="n">
        <v>29.5</v>
      </c>
      <c r="I105" s="7" t="n">
        <v>0</v>
      </c>
      <c r="J105" s="7" t="n">
        <v>29.5</v>
      </c>
      <c r="K105" s="7" t="n">
        <v>3.56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7" t="n">
        <v>21</v>
      </c>
      <c r="E106" s="7" t="n">
        <v>0</v>
      </c>
      <c r="F106" s="7" t="n">
        <v>0</v>
      </c>
      <c r="G106" s="7" t="n">
        <v>0</v>
      </c>
      <c r="H106" s="7" t="n">
        <v>21</v>
      </c>
      <c r="I106" s="7" t="n">
        <v>0</v>
      </c>
      <c r="J106" s="7" t="n">
        <v>21</v>
      </c>
      <c r="K106" s="7" t="n">
        <v>2.53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7" t="n">
        <v>41.25</v>
      </c>
      <c r="E107" s="7" t="n">
        <v>2.75</v>
      </c>
      <c r="F107" s="7" t="n">
        <v>0</v>
      </c>
      <c r="G107" s="7" t="n">
        <v>0</v>
      </c>
      <c r="H107" s="7" t="n">
        <v>44</v>
      </c>
      <c r="I107" s="7" t="n">
        <v>0</v>
      </c>
      <c r="J107" s="7" t="n">
        <v>44</v>
      </c>
      <c r="K107" s="7" t="n">
        <v>5.31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7" t="n">
        <v>40</v>
      </c>
      <c r="E108" s="7" t="n">
        <v>0</v>
      </c>
      <c r="F108" s="7" t="n">
        <v>0</v>
      </c>
      <c r="G108" s="7" t="n">
        <v>0</v>
      </c>
      <c r="H108" s="7" t="n">
        <v>40</v>
      </c>
      <c r="I108" s="7" t="n">
        <v>0</v>
      </c>
      <c r="J108" s="7" t="n">
        <v>40</v>
      </c>
      <c r="K108" s="7" t="n">
        <v>4.83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7" t="n">
        <v>41.25</v>
      </c>
      <c r="E109" s="7" t="n">
        <v>1.75</v>
      </c>
      <c r="F109" s="7" t="n">
        <v>0</v>
      </c>
      <c r="G109" s="7" t="n">
        <v>0</v>
      </c>
      <c r="H109" s="7" t="n">
        <v>43</v>
      </c>
      <c r="I109" s="7" t="n">
        <v>0</v>
      </c>
      <c r="J109" s="7" t="n">
        <v>43</v>
      </c>
      <c r="K109" s="7" t="n">
        <v>5.19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7" t="n">
        <v>36</v>
      </c>
      <c r="E111" s="7" t="n">
        <v>0</v>
      </c>
      <c r="F111" s="7" t="n">
        <v>0</v>
      </c>
      <c r="G111" s="7" t="n">
        <v>0</v>
      </c>
      <c r="H111" s="7" t="n">
        <v>36</v>
      </c>
      <c r="I111" s="7" t="n">
        <v>0</v>
      </c>
      <c r="J111" s="7" t="n">
        <v>36</v>
      </c>
      <c r="K111" s="7" t="n">
        <v>4.35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7" t="n">
        <v>39.25</v>
      </c>
      <c r="E112" s="7" t="n">
        <v>6</v>
      </c>
      <c r="F112" s="7" t="n">
        <v>0</v>
      </c>
      <c r="G112" s="7" t="n">
        <v>0</v>
      </c>
      <c r="H112" s="7" t="n">
        <v>45.25</v>
      </c>
      <c r="I112" s="7" t="n">
        <v>0</v>
      </c>
      <c r="J112" s="7" t="n">
        <v>45.25</v>
      </c>
      <c r="K112" s="7" t="n">
        <v>5.46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7" t="n">
        <v>26</v>
      </c>
      <c r="E113" s="7" t="n">
        <v>0</v>
      </c>
      <c r="F113" s="7" t="n">
        <v>0</v>
      </c>
      <c r="G113" s="7" t="n">
        <v>0</v>
      </c>
      <c r="H113" s="7" t="n">
        <v>26</v>
      </c>
      <c r="I113" s="7" t="n">
        <v>0</v>
      </c>
      <c r="J113" s="7" t="n">
        <v>26</v>
      </c>
      <c r="K113" s="7" t="n">
        <v>3.14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7" t="n">
        <v>31.75</v>
      </c>
      <c r="E114" s="7" t="n">
        <v>0</v>
      </c>
      <c r="F114" s="7" t="n">
        <v>0</v>
      </c>
      <c r="G114" s="7" t="n">
        <v>0</v>
      </c>
      <c r="H114" s="7" t="n">
        <v>31.75</v>
      </c>
      <c r="I114" s="7" t="n">
        <v>0</v>
      </c>
      <c r="J114" s="7" t="n">
        <v>31.75</v>
      </c>
      <c r="K114" s="7" t="n">
        <v>3.83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7" t="n">
        <v>41.25</v>
      </c>
      <c r="E115" s="7" t="n">
        <v>2.5</v>
      </c>
      <c r="F115" s="7" t="n">
        <v>0</v>
      </c>
      <c r="G115" s="7" t="n">
        <v>0</v>
      </c>
      <c r="H115" s="7" t="n">
        <v>43.75</v>
      </c>
      <c r="I115" s="7" t="n">
        <v>0</v>
      </c>
      <c r="J115" s="7" t="n">
        <v>43.75</v>
      </c>
      <c r="K115" s="7" t="n">
        <v>5.28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7" t="n">
        <v>37.5</v>
      </c>
      <c r="E117" s="7" t="n">
        <v>0</v>
      </c>
      <c r="F117" s="7" t="n">
        <v>0</v>
      </c>
      <c r="G117" s="7" t="n">
        <v>0</v>
      </c>
      <c r="H117" s="7" t="n">
        <v>37.5</v>
      </c>
      <c r="I117" s="7" t="n">
        <v>0</v>
      </c>
      <c r="J117" s="7" t="n">
        <v>37.5</v>
      </c>
      <c r="K117" s="7" t="n">
        <v>4.53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7" t="n">
        <v>40</v>
      </c>
      <c r="E118" s="7" t="n">
        <v>7.75</v>
      </c>
      <c r="F118" s="7" t="n">
        <v>0</v>
      </c>
      <c r="G118" s="7" t="n">
        <v>0</v>
      </c>
      <c r="H118" s="7" t="n">
        <v>47.75</v>
      </c>
      <c r="I118" s="7" t="n">
        <v>0</v>
      </c>
      <c r="J118" s="7" t="n">
        <v>47.75</v>
      </c>
      <c r="K118" s="7" t="n">
        <v>5.76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7" t="n">
        <v>22</v>
      </c>
      <c r="E120" s="7" t="n">
        <v>0</v>
      </c>
      <c r="F120" s="7" t="n">
        <v>0</v>
      </c>
      <c r="G120" s="7" t="n">
        <v>0</v>
      </c>
      <c r="H120" s="7" t="n">
        <v>22</v>
      </c>
      <c r="I120" s="7" t="n">
        <v>0</v>
      </c>
      <c r="J120" s="7" t="n">
        <v>22</v>
      </c>
      <c r="K120" s="7" t="n">
        <v>2.66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7" t="n">
        <v>20.75</v>
      </c>
      <c r="E123" s="7" t="n">
        <v>4.25</v>
      </c>
      <c r="F123" s="7" t="n">
        <v>0</v>
      </c>
      <c r="G123" s="7" t="n">
        <v>0</v>
      </c>
      <c r="H123" s="7" t="n">
        <v>25</v>
      </c>
      <c r="I123" s="7" t="n">
        <v>0</v>
      </c>
      <c r="J123" s="7" t="n">
        <v>25</v>
      </c>
      <c r="K123" s="7" t="n">
        <v>3.02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7" t="n">
        <v>20.25</v>
      </c>
      <c r="E124" s="7" t="n">
        <v>4.25</v>
      </c>
      <c r="F124" s="7" t="n">
        <v>0</v>
      </c>
      <c r="G124" s="7" t="n">
        <v>0</v>
      </c>
      <c r="H124" s="7" t="n">
        <v>24.5</v>
      </c>
      <c r="I124" s="7" t="n">
        <v>0</v>
      </c>
      <c r="J124" s="7" t="n">
        <v>24.5</v>
      </c>
      <c r="K124" s="7" t="n">
        <v>2.96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7" t="n">
        <v>41.25</v>
      </c>
      <c r="E125" s="7" t="n">
        <v>1.25</v>
      </c>
      <c r="F125" s="7" t="n">
        <v>0</v>
      </c>
      <c r="G125" s="7" t="n">
        <v>0</v>
      </c>
      <c r="H125" s="7" t="n">
        <v>42.5</v>
      </c>
      <c r="I125" s="7" t="n">
        <v>0</v>
      </c>
      <c r="J125" s="7" t="n">
        <v>42.5</v>
      </c>
      <c r="K125" s="7" t="n">
        <v>5.13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7" t="n">
        <v>35.25</v>
      </c>
      <c r="E126" s="7" t="n">
        <v>6.25</v>
      </c>
      <c r="F126" s="7" t="n">
        <v>0</v>
      </c>
      <c r="G126" s="7" t="n">
        <v>0</v>
      </c>
      <c r="H126" s="7" t="n">
        <v>41.5</v>
      </c>
      <c r="I126" s="7" t="n">
        <v>0</v>
      </c>
      <c r="J126" s="7" t="n">
        <v>41.5</v>
      </c>
      <c r="K126" s="7" t="n">
        <v>5.01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7" t="n">
        <v>40</v>
      </c>
      <c r="E127" s="7" t="n">
        <v>0</v>
      </c>
      <c r="F127" s="7" t="n">
        <v>0</v>
      </c>
      <c r="G127" s="7" t="n">
        <v>0</v>
      </c>
      <c r="H127" s="7" t="n">
        <v>40</v>
      </c>
      <c r="I127" s="7" t="n">
        <v>0</v>
      </c>
      <c r="J127" s="7" t="n">
        <v>40</v>
      </c>
      <c r="K127" s="7" t="n">
        <v>4.83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7" t="n">
        <v>40.5</v>
      </c>
      <c r="E128" s="7" t="n">
        <v>9.75</v>
      </c>
      <c r="F128" s="7" t="n">
        <v>0</v>
      </c>
      <c r="G128" s="7" t="n">
        <v>0</v>
      </c>
      <c r="H128" s="7" t="n">
        <v>50.25</v>
      </c>
      <c r="I128" s="7" t="n">
        <v>0</v>
      </c>
      <c r="J128" s="7" t="n">
        <v>50.25</v>
      </c>
      <c r="K128" s="7" t="n">
        <v>6.07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7" t="n">
        <v>0</v>
      </c>
      <c r="E129" s="7" t="n">
        <v>0</v>
      </c>
      <c r="F129" s="7" t="n">
        <v>8.5</v>
      </c>
      <c r="G129" s="7" t="n">
        <v>0</v>
      </c>
      <c r="H129" s="7" t="n">
        <v>8.5</v>
      </c>
      <c r="I129" s="7" t="n">
        <v>16</v>
      </c>
      <c r="J129" s="7" t="n">
        <v>0</v>
      </c>
      <c r="K129" s="7" t="n">
        <v>0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7" t="n">
        <v>39.5</v>
      </c>
      <c r="E130" s="7" t="n">
        <v>8.25</v>
      </c>
      <c r="F130" s="7" t="n">
        <v>0</v>
      </c>
      <c r="G130" s="7" t="n">
        <v>0</v>
      </c>
      <c r="H130" s="7" t="n">
        <v>47.75</v>
      </c>
      <c r="I130" s="7" t="n">
        <v>0</v>
      </c>
      <c r="J130" s="7" t="n">
        <v>47.75</v>
      </c>
      <c r="K130" s="7" t="n">
        <v>5.76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7" t="n">
        <v>41.25</v>
      </c>
      <c r="E131" s="7" t="n">
        <v>25</v>
      </c>
      <c r="F131" s="7" t="n">
        <v>0</v>
      </c>
      <c r="G131" s="7" t="n">
        <v>0</v>
      </c>
      <c r="H131" s="7" t="n">
        <v>66.25</v>
      </c>
      <c r="I131" s="7" t="n">
        <v>0</v>
      </c>
      <c r="J131" s="7" t="n">
        <v>66.25</v>
      </c>
      <c r="K131" s="7" t="n">
        <v>8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7" t="n">
        <v>20</v>
      </c>
      <c r="E132" s="7" t="n">
        <v>0</v>
      </c>
      <c r="F132" s="7" t="n">
        <v>0</v>
      </c>
      <c r="G132" s="7" t="n">
        <v>0</v>
      </c>
      <c r="H132" s="7" t="n">
        <v>20</v>
      </c>
      <c r="I132" s="7" t="n">
        <v>0</v>
      </c>
      <c r="J132" s="7" t="n">
        <v>20</v>
      </c>
      <c r="K132" s="7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7" t="n">
        <v>41.25</v>
      </c>
      <c r="E133" s="7" t="n">
        <v>8.25</v>
      </c>
      <c r="F133" s="7" t="n">
        <v>0</v>
      </c>
      <c r="G133" s="7" t="n">
        <v>0</v>
      </c>
      <c r="H133" s="7" t="n">
        <v>49.5</v>
      </c>
      <c r="I133" s="7" t="n">
        <v>0</v>
      </c>
      <c r="J133" s="7" t="n">
        <v>49.5</v>
      </c>
      <c r="K133" s="7" t="n">
        <v>5.97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7" t="n">
        <v>0</v>
      </c>
      <c r="E134" s="7" t="n">
        <v>8.25</v>
      </c>
      <c r="F134" s="7" t="n">
        <v>0</v>
      </c>
      <c r="G134" s="7" t="n">
        <v>0</v>
      </c>
      <c r="H134" s="7" t="n">
        <v>8.25</v>
      </c>
      <c r="I134" s="7" t="n">
        <v>0</v>
      </c>
      <c r="J134" s="7" t="n">
        <v>8.25</v>
      </c>
      <c r="K134" s="7" t="n">
        <v>1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7" t="n">
        <v>41.25</v>
      </c>
      <c r="E135" s="7" t="n">
        <v>2.75</v>
      </c>
      <c r="F135" s="7" t="n">
        <v>0</v>
      </c>
      <c r="G135" s="7" t="n">
        <v>0</v>
      </c>
      <c r="H135" s="7" t="n">
        <v>44</v>
      </c>
      <c r="I135" s="7" t="n">
        <v>0</v>
      </c>
      <c r="J135" s="7" t="n">
        <v>44</v>
      </c>
      <c r="K135" s="7" t="n">
        <v>5.31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7" t="n">
        <v>41.25</v>
      </c>
      <c r="E136" s="7" t="n">
        <v>1.75</v>
      </c>
      <c r="F136" s="7" t="n">
        <v>0</v>
      </c>
      <c r="G136" s="7" t="n">
        <v>0</v>
      </c>
      <c r="H136" s="7" t="n">
        <v>43</v>
      </c>
      <c r="I136" s="7" t="n">
        <v>0</v>
      </c>
      <c r="J136" s="7" t="n">
        <v>43</v>
      </c>
      <c r="K136" s="7" t="n">
        <v>5.19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7" t="n">
        <v>41.25</v>
      </c>
      <c r="E137" s="7" t="n">
        <v>9</v>
      </c>
      <c r="F137" s="7" t="n">
        <v>0</v>
      </c>
      <c r="G137" s="7" t="n">
        <v>0</v>
      </c>
      <c r="H137" s="7" t="n">
        <v>50.25</v>
      </c>
      <c r="I137" s="7" t="n">
        <v>40</v>
      </c>
      <c r="J137" s="7" t="n">
        <v>10.25</v>
      </c>
      <c r="K137" s="7" t="n">
        <v>1.24</v>
      </c>
    </row>
    <row r="138">
      <c r="A138" s="6" t="inlineStr">
        <is>
          <t>LOURENCO PEREIRA</t>
        </is>
      </c>
      <c r="B138" s="6" t="inlineStr">
        <is>
          <t>OFCE</t>
        </is>
      </c>
      <c r="C138" s="7" t="n">
        <v>737</v>
      </c>
      <c r="D138" s="7" t="n">
        <v>25</v>
      </c>
      <c r="E138" s="7" t="n">
        <v>0</v>
      </c>
      <c r="F138" s="7" t="n">
        <v>0</v>
      </c>
      <c r="G138" s="7" t="n">
        <v>0</v>
      </c>
      <c r="H138" s="7" t="n">
        <v>25</v>
      </c>
      <c r="I138" s="7" t="n">
        <v>0</v>
      </c>
      <c r="J138" s="7" t="n">
        <v>25</v>
      </c>
      <c r="K138" s="7" t="n">
        <v>3.02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7" t="n">
        <v>41.25</v>
      </c>
      <c r="E139" s="7" t="n">
        <v>2.5</v>
      </c>
      <c r="F139" s="7" t="n">
        <v>0</v>
      </c>
      <c r="G139" s="7" t="n">
        <v>0</v>
      </c>
      <c r="H139" s="7" t="n">
        <v>43.75</v>
      </c>
      <c r="I139" s="7" t="n">
        <v>0</v>
      </c>
      <c r="J139" s="7" t="n">
        <v>43.75</v>
      </c>
      <c r="K139" s="7" t="n">
        <v>5.28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7" t="n">
        <v>37</v>
      </c>
      <c r="E140" s="7" t="n">
        <v>0</v>
      </c>
      <c r="F140" s="7" t="n">
        <v>0</v>
      </c>
      <c r="G140" s="7" t="n">
        <v>0</v>
      </c>
      <c r="H140" s="7" t="n">
        <v>37</v>
      </c>
      <c r="I140" s="7" t="n">
        <v>0</v>
      </c>
      <c r="J140" s="7" t="n">
        <v>37</v>
      </c>
      <c r="K140" s="7" t="n">
        <v>4.47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7" t="n">
        <v>39.25</v>
      </c>
      <c r="E141" s="7" t="n">
        <v>0</v>
      </c>
      <c r="F141" s="7" t="n">
        <v>0</v>
      </c>
      <c r="G141" s="7" t="n">
        <v>0</v>
      </c>
      <c r="H141" s="7" t="n">
        <v>39.25</v>
      </c>
      <c r="I141" s="7" t="n">
        <v>0</v>
      </c>
      <c r="J141" s="7" t="n">
        <v>39.25</v>
      </c>
      <c r="K141" s="7" t="n">
        <v>4.74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7" t="n">
        <v>41.25</v>
      </c>
      <c r="E142" s="7" t="n">
        <v>1.25</v>
      </c>
      <c r="F142" s="7" t="n">
        <v>0</v>
      </c>
      <c r="G142" s="7" t="n">
        <v>0</v>
      </c>
      <c r="H142" s="7" t="n">
        <v>42.5</v>
      </c>
      <c r="I142" s="7" t="n">
        <v>0</v>
      </c>
      <c r="J142" s="7" t="n">
        <v>42.5</v>
      </c>
      <c r="K142" s="7" t="n">
        <v>5.13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7" t="n">
        <v>41.25</v>
      </c>
      <c r="E143" s="7" t="n">
        <v>2</v>
      </c>
      <c r="F143" s="7" t="n">
        <v>0</v>
      </c>
      <c r="G143" s="7" t="n">
        <v>0</v>
      </c>
      <c r="H143" s="7" t="n">
        <v>43.25</v>
      </c>
      <c r="I143" s="7" t="n">
        <v>0</v>
      </c>
      <c r="J143" s="7" t="n">
        <v>43.25</v>
      </c>
      <c r="K143" s="7" t="n">
        <v>5.22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7" t="n">
        <v>41.25</v>
      </c>
      <c r="E144" s="7" t="n">
        <v>3</v>
      </c>
      <c r="F144" s="7" t="n">
        <v>0</v>
      </c>
      <c r="G144" s="7" t="n">
        <v>0</v>
      </c>
      <c r="H144" s="7" t="n">
        <v>44.25</v>
      </c>
      <c r="I144" s="7" t="n">
        <v>0</v>
      </c>
      <c r="J144" s="7" t="n">
        <v>44.25</v>
      </c>
      <c r="K144" s="7" t="n">
        <v>5.34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7" t="n">
        <v>41.25</v>
      </c>
      <c r="E145" s="7" t="n">
        <v>10</v>
      </c>
      <c r="F145" s="7" t="n">
        <v>0</v>
      </c>
      <c r="G145" s="7" t="n">
        <v>0</v>
      </c>
      <c r="H145" s="7" t="n">
        <v>51.25</v>
      </c>
      <c r="I145" s="7" t="n">
        <v>0</v>
      </c>
      <c r="J145" s="7" t="n">
        <v>51.25</v>
      </c>
      <c r="K145" s="7" t="n">
        <v>6.19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7" t="n">
        <v>37.75</v>
      </c>
      <c r="E146" s="7" t="n">
        <v>8.75</v>
      </c>
      <c r="F146" s="7" t="n">
        <v>0</v>
      </c>
      <c r="G146" s="7" t="n">
        <v>0</v>
      </c>
      <c r="H146" s="7" t="n">
        <v>46.5</v>
      </c>
      <c r="I146" s="7" t="n">
        <v>0</v>
      </c>
      <c r="J146" s="7" t="n">
        <v>46.5</v>
      </c>
      <c r="K146" s="7" t="n">
        <v>5.61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7" t="n">
        <v>41.25</v>
      </c>
      <c r="E147" s="7" t="n">
        <v>16.5</v>
      </c>
      <c r="F147" s="7" t="n">
        <v>0</v>
      </c>
      <c r="G147" s="7" t="n">
        <v>0</v>
      </c>
      <c r="H147" s="7" t="n">
        <v>57.75</v>
      </c>
      <c r="I147" s="7" t="n">
        <v>0</v>
      </c>
      <c r="J147" s="7" t="n">
        <v>57.75</v>
      </c>
      <c r="K147" s="7" t="n">
        <v>6.97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7" t="n">
        <v>30.75</v>
      </c>
      <c r="E148" s="7" t="n">
        <v>0</v>
      </c>
      <c r="F148" s="7" t="n">
        <v>0</v>
      </c>
      <c r="G148" s="7" t="n">
        <v>0</v>
      </c>
      <c r="H148" s="7" t="n">
        <v>30.75</v>
      </c>
      <c r="I148" s="7" t="n">
        <v>0</v>
      </c>
      <c r="J148" s="7" t="n">
        <v>30.75</v>
      </c>
      <c r="K148" s="7" t="n">
        <v>3.71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7" t="n">
        <v>39</v>
      </c>
      <c r="E149" s="7" t="n">
        <v>8.75</v>
      </c>
      <c r="F149" s="7" t="n">
        <v>0</v>
      </c>
      <c r="G149" s="7" t="n">
        <v>0</v>
      </c>
      <c r="H149" s="7" t="n">
        <v>47.75</v>
      </c>
      <c r="I149" s="7" t="n">
        <v>0</v>
      </c>
      <c r="J149" s="7" t="n">
        <v>47.75</v>
      </c>
      <c r="K149" s="7" t="n">
        <v>5.76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7" t="n">
        <v>40.5</v>
      </c>
      <c r="E150" s="7" t="n">
        <v>0</v>
      </c>
      <c r="F150" s="7" t="n">
        <v>0</v>
      </c>
      <c r="G150" s="7" t="n">
        <v>0</v>
      </c>
      <c r="H150" s="7" t="n">
        <v>40.5</v>
      </c>
      <c r="I150" s="7" t="n">
        <v>0</v>
      </c>
      <c r="J150" s="7" t="n">
        <v>40.5</v>
      </c>
      <c r="K150" s="7" t="n">
        <v>4.89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7" t="n">
        <v>41.25</v>
      </c>
      <c r="E151" s="7" t="n">
        <v>10</v>
      </c>
      <c r="F151" s="7" t="n">
        <v>0</v>
      </c>
      <c r="G151" s="7" t="n">
        <v>0</v>
      </c>
      <c r="H151" s="7" t="n">
        <v>51.25</v>
      </c>
      <c r="I151" s="7" t="n">
        <v>0</v>
      </c>
      <c r="J151" s="7" t="n">
        <v>51.25</v>
      </c>
      <c r="K151" s="7" t="n">
        <v>6.19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7" t="n">
        <v>0</v>
      </c>
      <c r="E152" s="7" t="n">
        <v>0</v>
      </c>
      <c r="F152" s="7" t="n">
        <v>0</v>
      </c>
      <c r="G152" s="7" t="n">
        <v>40</v>
      </c>
      <c r="H152" s="7" t="n">
        <v>40</v>
      </c>
      <c r="I152" s="7" t="n">
        <v>0</v>
      </c>
      <c r="J152" s="7" t="n">
        <v>40</v>
      </c>
      <c r="K152" s="7" t="n">
        <v>4.83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7" t="n">
        <v>38.5</v>
      </c>
      <c r="E153" s="7" t="n">
        <v>9</v>
      </c>
      <c r="F153" s="7" t="n">
        <v>0</v>
      </c>
      <c r="G153" s="7" t="n">
        <v>0</v>
      </c>
      <c r="H153" s="7" t="n">
        <v>47.5</v>
      </c>
      <c r="I153" s="7" t="n">
        <v>0</v>
      </c>
      <c r="J153" s="7" t="n">
        <v>47.5</v>
      </c>
      <c r="K153" s="7" t="n">
        <v>5.73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7" t="n">
        <v>37.5</v>
      </c>
      <c r="E154" s="7" t="n">
        <v>0</v>
      </c>
      <c r="F154" s="7" t="n">
        <v>0</v>
      </c>
      <c r="G154" s="7" t="n">
        <v>0</v>
      </c>
      <c r="H154" s="7" t="n">
        <v>37.5</v>
      </c>
      <c r="I154" s="7" t="n">
        <v>0</v>
      </c>
      <c r="J154" s="7" t="n">
        <v>37.5</v>
      </c>
      <c r="K154" s="7" t="n">
        <v>4.53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7" t="n">
        <v>30</v>
      </c>
      <c r="E155" s="7" t="n">
        <v>0</v>
      </c>
      <c r="F155" s="7" t="n">
        <v>0</v>
      </c>
      <c r="G155" s="7" t="n">
        <v>8</v>
      </c>
      <c r="H155" s="7" t="n">
        <v>38</v>
      </c>
      <c r="I155" s="7" t="n">
        <v>0</v>
      </c>
      <c r="J155" s="7" t="n">
        <v>38</v>
      </c>
      <c r="K155" s="7" t="n">
        <v>4.59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7" t="n">
        <v>41.25</v>
      </c>
      <c r="E156" s="7" t="n">
        <v>10.5</v>
      </c>
      <c r="F156" s="7" t="n">
        <v>0</v>
      </c>
      <c r="G156" s="7" t="n">
        <v>0</v>
      </c>
      <c r="H156" s="7" t="n">
        <v>51.75</v>
      </c>
      <c r="I156" s="7" t="n">
        <v>0</v>
      </c>
      <c r="J156" s="7" t="n">
        <v>51.75</v>
      </c>
      <c r="K156" s="7" t="n">
        <v>6.25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7" t="n">
        <v>39</v>
      </c>
      <c r="E157" s="7" t="n">
        <v>0</v>
      </c>
      <c r="F157" s="7" t="n">
        <v>0</v>
      </c>
      <c r="G157" s="7" t="n">
        <v>0</v>
      </c>
      <c r="H157" s="7" t="n">
        <v>39</v>
      </c>
      <c r="I157" s="7" t="n">
        <v>0</v>
      </c>
      <c r="J157" s="7" t="n">
        <v>39</v>
      </c>
      <c r="K157" s="7" t="n">
        <v>4.71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7" t="n">
        <v>7.75</v>
      </c>
      <c r="E158" s="7" t="n">
        <v>0</v>
      </c>
      <c r="F158" s="7" t="n">
        <v>0</v>
      </c>
      <c r="G158" s="7" t="n">
        <v>8</v>
      </c>
      <c r="H158" s="7" t="n">
        <v>15.75</v>
      </c>
      <c r="I158" s="7" t="n">
        <v>0</v>
      </c>
      <c r="J158" s="7" t="n">
        <v>15.75</v>
      </c>
      <c r="K158" s="7" t="n">
        <v>1.9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7" t="n">
        <v>36.25</v>
      </c>
      <c r="E159" s="7" t="n">
        <v>8.5</v>
      </c>
      <c r="F159" s="7" t="n">
        <v>0</v>
      </c>
      <c r="G159" s="7" t="n">
        <v>0</v>
      </c>
      <c r="H159" s="7" t="n">
        <v>44.75</v>
      </c>
      <c r="I159" s="7" t="n">
        <v>0</v>
      </c>
      <c r="J159" s="7" t="n">
        <v>44.75</v>
      </c>
      <c r="K159" s="7" t="n">
        <v>5.4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7" t="n">
        <v>36.75</v>
      </c>
      <c r="E160" s="7" t="n">
        <v>0</v>
      </c>
      <c r="F160" s="7" t="n">
        <v>0</v>
      </c>
      <c r="G160" s="7" t="n">
        <v>0</v>
      </c>
      <c r="H160" s="7" t="n">
        <v>36.75</v>
      </c>
      <c r="I160" s="7" t="n">
        <v>0</v>
      </c>
      <c r="J160" s="7" t="n">
        <v>36.75</v>
      </c>
      <c r="K160" s="7" t="n">
        <v>4.44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7" t="n">
        <v>39.25</v>
      </c>
      <c r="E161" s="7" t="n">
        <v>8.5</v>
      </c>
      <c r="F161" s="7" t="n">
        <v>0</v>
      </c>
      <c r="G161" s="7" t="n">
        <v>0</v>
      </c>
      <c r="H161" s="7" t="n">
        <v>47.75</v>
      </c>
      <c r="I161" s="7" t="n">
        <v>0</v>
      </c>
      <c r="J161" s="7" t="n">
        <v>47.75</v>
      </c>
      <c r="K161" s="7" t="n">
        <v>5.76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7" t="n">
        <v>35</v>
      </c>
      <c r="E162" s="7" t="n">
        <v>6.75</v>
      </c>
      <c r="F162" s="7" t="n">
        <v>0</v>
      </c>
      <c r="G162" s="7" t="n">
        <v>0</v>
      </c>
      <c r="H162" s="7" t="n">
        <v>41.75</v>
      </c>
      <c r="I162" s="7" t="n">
        <v>0</v>
      </c>
      <c r="J162" s="7" t="n">
        <v>41.75</v>
      </c>
      <c r="K162" s="7" t="n">
        <v>5.04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7" t="n">
        <v>38.25</v>
      </c>
      <c r="E163" s="7" t="n">
        <v>0</v>
      </c>
      <c r="F163" s="7" t="n">
        <v>0</v>
      </c>
      <c r="G163" s="7" t="n">
        <v>0</v>
      </c>
      <c r="H163" s="7" t="n">
        <v>38.25</v>
      </c>
      <c r="I163" s="7" t="n">
        <v>0</v>
      </c>
      <c r="J163" s="7" t="n">
        <v>38.25</v>
      </c>
      <c r="K163" s="7" t="n">
        <v>4.62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7" t="n">
        <v>34.25</v>
      </c>
      <c r="E164" s="7" t="n">
        <v>7.5</v>
      </c>
      <c r="F164" s="7" t="n">
        <v>0</v>
      </c>
      <c r="G164" s="7" t="n">
        <v>0</v>
      </c>
      <c r="H164" s="7" t="n">
        <v>41.75</v>
      </c>
      <c r="I164" s="7" t="n">
        <v>0</v>
      </c>
      <c r="J164" s="7" t="n">
        <v>41.75</v>
      </c>
      <c r="K164" s="7" t="n">
        <v>5.04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7" t="n">
        <v>34.25</v>
      </c>
      <c r="E165" s="7" t="n">
        <v>6.75</v>
      </c>
      <c r="F165" s="7" t="n">
        <v>0</v>
      </c>
      <c r="G165" s="7" t="n">
        <v>0</v>
      </c>
      <c r="H165" s="7" t="n">
        <v>41</v>
      </c>
      <c r="I165" s="7" t="n">
        <v>0</v>
      </c>
      <c r="J165" s="7" t="n">
        <v>41</v>
      </c>
      <c r="K165" s="7" t="n">
        <v>4.95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7" t="n">
        <v>36.5</v>
      </c>
      <c r="E166" s="7" t="n">
        <v>7.5</v>
      </c>
      <c r="F166" s="7" t="n">
        <v>0</v>
      </c>
      <c r="G166" s="7" t="n">
        <v>0</v>
      </c>
      <c r="H166" s="7" t="n">
        <v>44</v>
      </c>
      <c r="I166" s="7" t="n">
        <v>0</v>
      </c>
      <c r="J166" s="7" t="n">
        <v>44</v>
      </c>
      <c r="K166" s="7" t="n">
        <v>5.31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</row>
    <row r="168">
      <c r="A168" s="6" t="inlineStr">
        <is>
          <t>VIDYA PATEL</t>
        </is>
      </c>
      <c r="B168" s="6" t="inlineStr">
        <is>
          <t>PROD BELT</t>
        </is>
      </c>
      <c r="C168" s="7" t="n">
        <v>124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7" t="n">
        <v>26.25</v>
      </c>
      <c r="E169" s="7" t="n">
        <v>4.5</v>
      </c>
      <c r="F169" s="7" t="n">
        <v>0</v>
      </c>
      <c r="G169" s="7" t="n">
        <v>0</v>
      </c>
      <c r="H169" s="7" t="n">
        <v>30.75</v>
      </c>
      <c r="I169" s="7" t="n">
        <v>0</v>
      </c>
      <c r="J169" s="7" t="n">
        <v>30.75</v>
      </c>
      <c r="K169" s="7" t="n">
        <v>3.71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7" t="n">
        <v>34.75</v>
      </c>
      <c r="E170" s="7" t="n">
        <v>0</v>
      </c>
      <c r="F170" s="7" t="n">
        <v>0</v>
      </c>
      <c r="G170" s="7" t="n">
        <v>0</v>
      </c>
      <c r="H170" s="7" t="n">
        <v>34.75</v>
      </c>
      <c r="I170" s="7" t="n">
        <v>0</v>
      </c>
      <c r="J170" s="7" t="n">
        <v>34.75</v>
      </c>
      <c r="K170" s="7" t="n">
        <v>4.19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7" t="n">
        <v>39</v>
      </c>
      <c r="E171" s="7" t="n">
        <v>0</v>
      </c>
      <c r="F171" s="7" t="n">
        <v>0</v>
      </c>
      <c r="G171" s="7" t="n">
        <v>0</v>
      </c>
      <c r="H171" s="7" t="n">
        <v>39</v>
      </c>
      <c r="I171" s="7" t="n">
        <v>0</v>
      </c>
      <c r="J171" s="7" t="n">
        <v>39</v>
      </c>
      <c r="K171" s="7" t="n">
        <v>4.71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7" t="n">
        <v>34.25</v>
      </c>
      <c r="E172" s="7" t="n">
        <v>0</v>
      </c>
      <c r="F172" s="7" t="n">
        <v>0</v>
      </c>
      <c r="G172" s="7" t="n">
        <v>0</v>
      </c>
      <c r="H172" s="7" t="n">
        <v>34.25</v>
      </c>
      <c r="I172" s="7" t="n">
        <v>0</v>
      </c>
      <c r="J172" s="7" t="n">
        <v>34.25</v>
      </c>
      <c r="K172" s="7" t="n">
        <v>4.13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7" t="n">
        <v>26.25</v>
      </c>
      <c r="E173" s="7" t="n">
        <v>4.25</v>
      </c>
      <c r="F173" s="7" t="n">
        <v>0</v>
      </c>
      <c r="G173" s="7" t="n">
        <v>0</v>
      </c>
      <c r="H173" s="7" t="n">
        <v>30.5</v>
      </c>
      <c r="I173" s="7" t="n">
        <v>0</v>
      </c>
      <c r="J173" s="7" t="n">
        <v>30.5</v>
      </c>
      <c r="K173" s="7" t="n">
        <v>3.68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7" t="n">
        <v>37</v>
      </c>
      <c r="E174" s="7" t="n">
        <v>0</v>
      </c>
      <c r="F174" s="7" t="n">
        <v>0</v>
      </c>
      <c r="G174" s="7" t="n">
        <v>0</v>
      </c>
      <c r="H174" s="7" t="n">
        <v>37</v>
      </c>
      <c r="I174" s="7" t="n">
        <v>0</v>
      </c>
      <c r="J174" s="7" t="n">
        <v>37</v>
      </c>
      <c r="K174" s="7" t="n">
        <v>4.47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7" t="n">
        <v>26.25</v>
      </c>
      <c r="E175" s="7" t="n">
        <v>4.25</v>
      </c>
      <c r="F175" s="7" t="n">
        <v>0</v>
      </c>
      <c r="G175" s="7" t="n">
        <v>0</v>
      </c>
      <c r="H175" s="7" t="n">
        <v>30.5</v>
      </c>
      <c r="I175" s="7" t="n">
        <v>0</v>
      </c>
      <c r="J175" s="7" t="n">
        <v>30.5</v>
      </c>
      <c r="K175" s="7" t="n">
        <v>3.68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7" t="n">
        <v>28.25</v>
      </c>
      <c r="E176" s="7" t="n">
        <v>0</v>
      </c>
      <c r="F176" s="7" t="n">
        <v>0</v>
      </c>
      <c r="G176" s="7" t="n">
        <v>0</v>
      </c>
      <c r="H176" s="7" t="n">
        <v>28.25</v>
      </c>
      <c r="I176" s="7" t="n">
        <v>0</v>
      </c>
      <c r="J176" s="7" t="n">
        <v>28.25</v>
      </c>
      <c r="K176" s="7" t="n">
        <v>3.41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7" t="n">
        <v>28.75</v>
      </c>
      <c r="E177" s="7" t="n">
        <v>4.25</v>
      </c>
      <c r="F177" s="7" t="n">
        <v>0</v>
      </c>
      <c r="G177" s="7" t="n">
        <v>0</v>
      </c>
      <c r="H177" s="7" t="n">
        <v>33</v>
      </c>
      <c r="I177" s="7" t="n">
        <v>0</v>
      </c>
      <c r="J177" s="7" t="n">
        <v>33</v>
      </c>
      <c r="K177" s="7" t="n">
        <v>3.98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7" t="n">
        <v>26.25</v>
      </c>
      <c r="E178" s="7" t="n">
        <v>4.25</v>
      </c>
      <c r="F178" s="7" t="n">
        <v>0</v>
      </c>
      <c r="G178" s="7" t="n">
        <v>0</v>
      </c>
      <c r="H178" s="7" t="n">
        <v>30.5</v>
      </c>
      <c r="I178" s="7" t="n">
        <v>0</v>
      </c>
      <c r="J178" s="7" t="n">
        <v>30.5</v>
      </c>
      <c r="K178" s="7" t="n">
        <v>3.68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7" t="n">
        <v>35.25</v>
      </c>
      <c r="E180" s="7" t="n">
        <v>0</v>
      </c>
      <c r="F180" s="7" t="n">
        <v>0</v>
      </c>
      <c r="G180" s="7" t="n">
        <v>0</v>
      </c>
      <c r="H180" s="7" t="n">
        <v>35.25</v>
      </c>
      <c r="I180" s="7" t="n">
        <v>0</v>
      </c>
      <c r="J180" s="7" t="n">
        <v>35.25</v>
      </c>
      <c r="K180" s="7" t="n">
        <v>4.25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7" t="n">
        <v>36.25</v>
      </c>
      <c r="E181" s="7" t="n">
        <v>0</v>
      </c>
      <c r="F181" s="7" t="n">
        <v>0</v>
      </c>
      <c r="G181" s="7" t="n">
        <v>0</v>
      </c>
      <c r="H181" s="7" t="n">
        <v>36.25</v>
      </c>
      <c r="I181" s="7" t="n">
        <v>40</v>
      </c>
      <c r="J181" s="7" t="n">
        <v>0</v>
      </c>
      <c r="K181" s="7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7" t="n">
        <v>27.75</v>
      </c>
      <c r="E182" s="7" t="n">
        <v>0</v>
      </c>
      <c r="F182" s="7" t="n">
        <v>0</v>
      </c>
      <c r="G182" s="7" t="n">
        <v>0</v>
      </c>
      <c r="H182" s="7" t="n">
        <v>27.75</v>
      </c>
      <c r="I182" s="7" t="n">
        <v>0</v>
      </c>
      <c r="J182" s="7" t="n">
        <v>27.75</v>
      </c>
      <c r="K182" s="7" t="n">
        <v>3.35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7" t="n">
        <v>35.5</v>
      </c>
      <c r="E183" s="7" t="n">
        <v>0</v>
      </c>
      <c r="F183" s="7" t="n">
        <v>0</v>
      </c>
      <c r="G183" s="7" t="n">
        <v>0</v>
      </c>
      <c r="H183" s="7" t="n">
        <v>35.5</v>
      </c>
      <c r="I183" s="7" t="n">
        <v>0</v>
      </c>
      <c r="J183" s="7" t="n">
        <v>35.5</v>
      </c>
      <c r="K183" s="7" t="n">
        <v>4.28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7" t="n">
        <v>30.5</v>
      </c>
      <c r="E184" s="7" t="n">
        <v>4.5</v>
      </c>
      <c r="F184" s="7" t="n">
        <v>0</v>
      </c>
      <c r="G184" s="7" t="n">
        <v>0</v>
      </c>
      <c r="H184" s="7" t="n">
        <v>35</v>
      </c>
      <c r="I184" s="7" t="n">
        <v>0</v>
      </c>
      <c r="J184" s="7" t="n">
        <v>35</v>
      </c>
      <c r="K184" s="7" t="n">
        <v>4.22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7" t="n">
        <v>41.25</v>
      </c>
      <c r="E185" s="7" t="n">
        <v>1.5</v>
      </c>
      <c r="F185" s="7" t="n">
        <v>0</v>
      </c>
      <c r="G185" s="7" t="n">
        <v>0</v>
      </c>
      <c r="H185" s="7" t="n">
        <v>42.75</v>
      </c>
      <c r="I185" s="7" t="n">
        <v>0</v>
      </c>
      <c r="J185" s="7" t="n">
        <v>42.75</v>
      </c>
      <c r="K185" s="7" t="n">
        <v>5.16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7" t="n">
        <v>34.75</v>
      </c>
      <c r="E186" s="7" t="n">
        <v>0</v>
      </c>
      <c r="F186" s="7" t="n">
        <v>0</v>
      </c>
      <c r="G186" s="7" t="n">
        <v>0</v>
      </c>
      <c r="H186" s="7" t="n">
        <v>34.75</v>
      </c>
      <c r="I186" s="7" t="n">
        <v>0</v>
      </c>
      <c r="J186" s="7" t="n">
        <v>34.75</v>
      </c>
      <c r="K186" s="7" t="n">
        <v>4.19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7" t="n">
        <v>35</v>
      </c>
      <c r="E187" s="7" t="n">
        <v>0</v>
      </c>
      <c r="F187" s="7" t="n">
        <v>0</v>
      </c>
      <c r="G187" s="7" t="n">
        <v>0</v>
      </c>
      <c r="H187" s="7" t="n">
        <v>35</v>
      </c>
      <c r="I187" s="7" t="n">
        <v>0</v>
      </c>
      <c r="J187" s="7" t="n">
        <v>35</v>
      </c>
      <c r="K187" s="7" t="n">
        <v>4.22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7" t="n">
        <v>41.25</v>
      </c>
      <c r="E188" s="7" t="n">
        <v>9.25</v>
      </c>
      <c r="F188" s="7" t="n">
        <v>0</v>
      </c>
      <c r="G188" s="7" t="n">
        <v>0</v>
      </c>
      <c r="H188" s="7" t="n">
        <v>50.5</v>
      </c>
      <c r="I188" s="7" t="n">
        <v>0</v>
      </c>
      <c r="J188" s="7" t="n">
        <v>50.5</v>
      </c>
      <c r="K188" s="7" t="n">
        <v>6.1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7" t="n">
        <v>35.75</v>
      </c>
      <c r="E189" s="7" t="n">
        <v>0</v>
      </c>
      <c r="F189" s="7" t="n">
        <v>0</v>
      </c>
      <c r="G189" s="7" t="n">
        <v>0</v>
      </c>
      <c r="H189" s="7" t="n">
        <v>35.75</v>
      </c>
      <c r="I189" s="7" t="n">
        <v>0</v>
      </c>
      <c r="J189" s="7" t="n">
        <v>35.75</v>
      </c>
      <c r="K189" s="7" t="n">
        <v>4.32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7" t="n">
        <v>32.5</v>
      </c>
      <c r="E190" s="7" t="n">
        <v>8.25</v>
      </c>
      <c r="F190" s="7" t="n">
        <v>0</v>
      </c>
      <c r="G190" s="7" t="n">
        <v>0</v>
      </c>
      <c r="H190" s="7" t="n">
        <v>40.75</v>
      </c>
      <c r="I190" s="7" t="n">
        <v>0</v>
      </c>
      <c r="J190" s="7" t="n">
        <v>40.75</v>
      </c>
      <c r="K190" s="7" t="n">
        <v>4.92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7" t="n">
        <v>37.25</v>
      </c>
      <c r="E191" s="7" t="n">
        <v>0</v>
      </c>
      <c r="F191" s="7" t="n">
        <v>0</v>
      </c>
      <c r="G191" s="7" t="n">
        <v>0</v>
      </c>
      <c r="H191" s="7" t="n">
        <v>37.25</v>
      </c>
      <c r="I191" s="7" t="n">
        <v>0</v>
      </c>
      <c r="J191" s="7" t="n">
        <v>37.25</v>
      </c>
      <c r="K191" s="7" t="n">
        <v>4.5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7" t="n">
        <v>34</v>
      </c>
      <c r="E192" s="7" t="n">
        <v>0</v>
      </c>
      <c r="F192" s="7" t="n">
        <v>0</v>
      </c>
      <c r="G192" s="7" t="n">
        <v>0</v>
      </c>
      <c r="H192" s="7" t="n">
        <v>34</v>
      </c>
      <c r="I192" s="7" t="n">
        <v>0</v>
      </c>
      <c r="J192" s="7" t="n">
        <v>34</v>
      </c>
      <c r="K192" s="7" t="n">
        <v>4.1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7" t="n">
        <v>8</v>
      </c>
      <c r="E193" s="7" t="n">
        <v>0</v>
      </c>
      <c r="F193" s="7" t="n">
        <v>0</v>
      </c>
      <c r="G193" s="7" t="n">
        <v>0</v>
      </c>
      <c r="H193" s="7" t="n">
        <v>8</v>
      </c>
      <c r="I193" s="7" t="n">
        <v>0</v>
      </c>
      <c r="J193" s="7" t="n">
        <v>8</v>
      </c>
      <c r="K193" s="7" t="n">
        <v>0.97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7" t="n">
        <v>27</v>
      </c>
      <c r="E194" s="7" t="n">
        <v>4.25</v>
      </c>
      <c r="F194" s="7" t="n">
        <v>0</v>
      </c>
      <c r="G194" s="7" t="n">
        <v>0</v>
      </c>
      <c r="H194" s="7" t="n">
        <v>31.25</v>
      </c>
      <c r="I194" s="7" t="n">
        <v>0</v>
      </c>
      <c r="J194" s="7" t="n">
        <v>31.25</v>
      </c>
      <c r="K194" s="7" t="n">
        <v>3.77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7" t="n">
        <v>39</v>
      </c>
      <c r="E195" s="7" t="n">
        <v>0</v>
      </c>
      <c r="F195" s="7" t="n">
        <v>0</v>
      </c>
      <c r="G195" s="7" t="n">
        <v>0</v>
      </c>
      <c r="H195" s="7" t="n">
        <v>39</v>
      </c>
      <c r="I195" s="7" t="n">
        <v>0</v>
      </c>
      <c r="J195" s="7" t="n">
        <v>39</v>
      </c>
      <c r="K195" s="7" t="n">
        <v>4.71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7" t="n">
        <v>39.75</v>
      </c>
      <c r="E196" s="7" t="n">
        <v>0</v>
      </c>
      <c r="F196" s="7" t="n">
        <v>0</v>
      </c>
      <c r="G196" s="7" t="n">
        <v>0</v>
      </c>
      <c r="H196" s="7" t="n">
        <v>39.75</v>
      </c>
      <c r="I196" s="7" t="n">
        <v>0</v>
      </c>
      <c r="J196" s="7" t="n">
        <v>39.75</v>
      </c>
      <c r="K196" s="7" t="n">
        <v>4.8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7" t="n">
        <v>32.5</v>
      </c>
      <c r="E198" s="7" t="n">
        <v>0</v>
      </c>
      <c r="F198" s="7" t="n">
        <v>0</v>
      </c>
      <c r="G198" s="7" t="n">
        <v>0</v>
      </c>
      <c r="H198" s="7" t="n">
        <v>32.5</v>
      </c>
      <c r="I198" s="7" t="n">
        <v>0</v>
      </c>
      <c r="J198" s="7" t="n">
        <v>32.5</v>
      </c>
      <c r="K198" s="7" t="n">
        <v>3.92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7" t="n">
        <v>41.25</v>
      </c>
      <c r="E199" s="7" t="n">
        <v>6</v>
      </c>
      <c r="F199" s="7" t="n">
        <v>0</v>
      </c>
      <c r="G199" s="7" t="n">
        <v>0</v>
      </c>
      <c r="H199" s="7" t="n">
        <v>47.25</v>
      </c>
      <c r="I199" s="7" t="n">
        <v>0</v>
      </c>
      <c r="J199" s="7" t="n">
        <v>47.25</v>
      </c>
      <c r="K199" s="7" t="n">
        <v>5.7</v>
      </c>
    </row>
    <row r="200">
      <c r="A200" s="6" t="inlineStr">
        <is>
          <t>ANDRE SILVA</t>
        </is>
      </c>
      <c r="B200" s="6" t="inlineStr">
        <is>
          <t>PROD PREPARATION</t>
        </is>
      </c>
      <c r="C200" s="7" t="n">
        <v>627</v>
      </c>
      <c r="D200" s="7" t="n">
        <v>40.75</v>
      </c>
      <c r="E200" s="7" t="n">
        <v>0</v>
      </c>
      <c r="F200" s="7" t="n">
        <v>0</v>
      </c>
      <c r="G200" s="7" t="n">
        <v>0</v>
      </c>
      <c r="H200" s="7" t="n">
        <v>40.75</v>
      </c>
      <c r="I200" s="7" t="n">
        <v>0</v>
      </c>
      <c r="J200" s="7" t="n">
        <v>40.75</v>
      </c>
      <c r="K200" s="7" t="n">
        <v>4.92</v>
      </c>
    </row>
    <row r="201">
      <c r="A201" s="6" t="inlineStr">
        <is>
          <t>MAGDALENA SHAH</t>
        </is>
      </c>
      <c r="B201" s="6" t="inlineStr">
        <is>
          <t>PROD PREPARATION</t>
        </is>
      </c>
      <c r="C201" s="7" t="n">
        <v>263</v>
      </c>
      <c r="D201" s="7" t="n">
        <v>28.75</v>
      </c>
      <c r="E201" s="7" t="n">
        <v>0</v>
      </c>
      <c r="F201" s="7" t="n">
        <v>0</v>
      </c>
      <c r="G201" s="7" t="n">
        <v>8</v>
      </c>
      <c r="H201" s="7" t="n">
        <v>36.75</v>
      </c>
      <c r="I201" s="7" t="n">
        <v>0</v>
      </c>
      <c r="J201" s="7" t="n">
        <v>36.75</v>
      </c>
      <c r="K201" s="7" t="n">
        <v>4.44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7" t="n">
        <v>41.25</v>
      </c>
      <c r="E202" s="7" t="n">
        <v>3</v>
      </c>
      <c r="F202" s="7" t="n">
        <v>0</v>
      </c>
      <c r="G202" s="7" t="n">
        <v>0</v>
      </c>
      <c r="H202" s="7" t="n">
        <v>44.25</v>
      </c>
      <c r="I202" s="7" t="n">
        <v>0</v>
      </c>
      <c r="J202" s="7" t="n">
        <v>44.25</v>
      </c>
      <c r="K202" s="7" t="n">
        <v>5.34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7" t="n">
        <v>41.25</v>
      </c>
      <c r="E203" s="7" t="n">
        <v>9.25</v>
      </c>
      <c r="F203" s="7" t="n">
        <v>0</v>
      </c>
      <c r="G203" s="7" t="n">
        <v>0</v>
      </c>
      <c r="H203" s="7" t="n">
        <v>50.5</v>
      </c>
      <c r="I203" s="7" t="n">
        <v>0</v>
      </c>
      <c r="J203" s="7" t="n">
        <v>50.5</v>
      </c>
      <c r="K203" s="7" t="n">
        <v>6.1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7" t="n">
        <v>41.25</v>
      </c>
      <c r="E204" s="7" t="n">
        <v>16.5</v>
      </c>
      <c r="F204" s="7" t="n">
        <v>0</v>
      </c>
      <c r="G204" s="7" t="n">
        <v>0</v>
      </c>
      <c r="H204" s="7" t="n">
        <v>57.75</v>
      </c>
      <c r="I204" s="7" t="n">
        <v>0</v>
      </c>
      <c r="J204" s="7" t="n">
        <v>57.75</v>
      </c>
      <c r="K204" s="7" t="n">
        <v>6.97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7" t="n">
        <v>41.25</v>
      </c>
      <c r="E205" s="7" t="n">
        <v>8.25</v>
      </c>
      <c r="F205" s="7" t="n">
        <v>0</v>
      </c>
      <c r="G205" s="7" t="n">
        <v>0</v>
      </c>
      <c r="H205" s="7" t="n">
        <v>49.5</v>
      </c>
      <c r="I205" s="7" t="n">
        <v>0</v>
      </c>
      <c r="J205" s="7" t="n">
        <v>49.5</v>
      </c>
      <c r="K205" s="7" t="n">
        <v>5.97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7" t="n">
        <v>26.25</v>
      </c>
      <c r="E207" s="7" t="n">
        <v>0</v>
      </c>
      <c r="F207" s="7" t="n">
        <v>0</v>
      </c>
      <c r="G207" s="7" t="n">
        <v>0</v>
      </c>
      <c r="H207" s="7" t="n">
        <v>26.25</v>
      </c>
      <c r="I207" s="7" t="n">
        <v>0</v>
      </c>
      <c r="J207" s="7" t="n">
        <v>26.25</v>
      </c>
      <c r="K207" s="7" t="n">
        <v>3.17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7" t="n">
        <v>34.25</v>
      </c>
      <c r="E208" s="7" t="n">
        <v>0</v>
      </c>
      <c r="F208" s="7" t="n">
        <v>0</v>
      </c>
      <c r="G208" s="7" t="n">
        <v>0</v>
      </c>
      <c r="H208" s="7" t="n">
        <v>34.25</v>
      </c>
      <c r="I208" s="7" t="n">
        <v>0</v>
      </c>
      <c r="J208" s="7" t="n">
        <v>34.25</v>
      </c>
      <c r="K208" s="7" t="n">
        <v>4.13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7" t="n">
        <v>26</v>
      </c>
      <c r="E209" s="7" t="n">
        <v>0</v>
      </c>
      <c r="F209" s="7" t="n">
        <v>0</v>
      </c>
      <c r="G209" s="7" t="n">
        <v>8</v>
      </c>
      <c r="H209" s="7" t="n">
        <v>34</v>
      </c>
      <c r="I209" s="7" t="n">
        <v>0</v>
      </c>
      <c r="J209" s="7" t="n">
        <v>34</v>
      </c>
      <c r="K209" s="7" t="n">
        <v>4.1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7" t="n">
        <v>35</v>
      </c>
      <c r="E210" s="7" t="n">
        <v>0</v>
      </c>
      <c r="F210" s="7" t="n">
        <v>0</v>
      </c>
      <c r="G210" s="7" t="n">
        <v>0</v>
      </c>
      <c r="H210" s="7" t="n">
        <v>35</v>
      </c>
      <c r="I210" s="7" t="n">
        <v>0</v>
      </c>
      <c r="J210" s="7" t="n">
        <v>35</v>
      </c>
      <c r="K210" s="7" t="n">
        <v>4.22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7" t="n">
        <v>35.25</v>
      </c>
      <c r="E211" s="7" t="n">
        <v>0</v>
      </c>
      <c r="F211" s="7" t="n">
        <v>0</v>
      </c>
      <c r="G211" s="7" t="n">
        <v>0</v>
      </c>
      <c r="H211" s="7" t="n">
        <v>35.25</v>
      </c>
      <c r="I211" s="7" t="n">
        <v>0</v>
      </c>
      <c r="J211" s="7" t="n">
        <v>35.25</v>
      </c>
      <c r="K211" s="7" t="n">
        <v>4.25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7" t="n">
        <v>35.25</v>
      </c>
      <c r="E213" s="7" t="n">
        <v>0</v>
      </c>
      <c r="F213" s="7" t="n">
        <v>0</v>
      </c>
      <c r="G213" s="7" t="n">
        <v>0</v>
      </c>
      <c r="H213" s="7" t="n">
        <v>35.25</v>
      </c>
      <c r="I213" s="7" t="n">
        <v>0</v>
      </c>
      <c r="J213" s="7" t="n">
        <v>35.25</v>
      </c>
      <c r="K213" s="7" t="n">
        <v>4.25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7" t="n">
        <v>37.75</v>
      </c>
      <c r="E214" s="7" t="n">
        <v>0</v>
      </c>
      <c r="F214" s="7" t="n">
        <v>0</v>
      </c>
      <c r="G214" s="7" t="n">
        <v>0</v>
      </c>
      <c r="H214" s="7" t="n">
        <v>37.75</v>
      </c>
      <c r="I214" s="7" t="n">
        <v>0</v>
      </c>
      <c r="J214" s="7" t="n">
        <v>37.75</v>
      </c>
      <c r="K214" s="7" t="n">
        <v>4.56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7" t="n">
        <v>41.25</v>
      </c>
      <c r="E215" s="7" t="n">
        <v>3</v>
      </c>
      <c r="F215" s="7" t="n">
        <v>0</v>
      </c>
      <c r="G215" s="7" t="n">
        <v>0</v>
      </c>
      <c r="H215" s="7" t="n">
        <v>44.25</v>
      </c>
      <c r="I215" s="7" t="n">
        <v>0</v>
      </c>
      <c r="J215" s="7" t="n">
        <v>44.25</v>
      </c>
      <c r="K215" s="7" t="n">
        <v>5.34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7" t="n">
        <v>40</v>
      </c>
      <c r="E216" s="7" t="n">
        <v>0</v>
      </c>
      <c r="F216" s="7" t="n">
        <v>0</v>
      </c>
      <c r="G216" s="7" t="n">
        <v>0</v>
      </c>
      <c r="H216" s="7" t="n">
        <v>40</v>
      </c>
      <c r="I216" s="7" t="n">
        <v>0</v>
      </c>
      <c r="J216" s="7" t="n">
        <v>40</v>
      </c>
      <c r="K216" s="7" t="n">
        <v>4.83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7" t="n">
        <v>41.25</v>
      </c>
      <c r="E217" s="7" t="n">
        <v>12</v>
      </c>
      <c r="F217" s="7" t="n">
        <v>0</v>
      </c>
      <c r="G217" s="7" t="n">
        <v>0</v>
      </c>
      <c r="H217" s="7" t="n">
        <v>53.25</v>
      </c>
      <c r="I217" s="7" t="n">
        <v>0</v>
      </c>
      <c r="J217" s="7" t="n">
        <v>53.25</v>
      </c>
      <c r="K217" s="7" t="n">
        <v>6.43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7" t="n">
        <v>29.25</v>
      </c>
      <c r="E218" s="7" t="n">
        <v>0</v>
      </c>
      <c r="F218" s="7" t="n">
        <v>0</v>
      </c>
      <c r="G218" s="7" t="n">
        <v>0</v>
      </c>
      <c r="H218" s="7" t="n">
        <v>29.25</v>
      </c>
      <c r="I218" s="7" t="n">
        <v>0</v>
      </c>
      <c r="J218" s="7" t="n">
        <v>29.25</v>
      </c>
      <c r="K218" s="7" t="n">
        <v>3.53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7" t="n">
        <v>41.25</v>
      </c>
      <c r="E219" s="7" t="n">
        <v>8.25</v>
      </c>
      <c r="F219" s="7" t="n">
        <v>0</v>
      </c>
      <c r="G219" s="7" t="n">
        <v>0</v>
      </c>
      <c r="H219" s="7" t="n">
        <v>49.5</v>
      </c>
      <c r="I219" s="7" t="n">
        <v>0</v>
      </c>
      <c r="J219" s="7" t="n">
        <v>49.5</v>
      </c>
      <c r="K219" s="7" t="n">
        <v>5.97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7" t="n">
        <v>30</v>
      </c>
      <c r="E220" s="7" t="n">
        <v>7</v>
      </c>
      <c r="F220" s="7" t="n">
        <v>0</v>
      </c>
      <c r="G220" s="7" t="n">
        <v>0</v>
      </c>
      <c r="H220" s="7" t="n">
        <v>37</v>
      </c>
      <c r="I220" s="7" t="n">
        <v>0</v>
      </c>
      <c r="J220" s="7" t="n">
        <v>37</v>
      </c>
      <c r="K220" s="7" t="n">
        <v>4.47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7" t="n">
        <v>40.5</v>
      </c>
      <c r="E221" s="7" t="n">
        <v>7</v>
      </c>
      <c r="F221" s="7" t="n">
        <v>0</v>
      </c>
      <c r="G221" s="7" t="n">
        <v>0</v>
      </c>
      <c r="H221" s="7" t="n">
        <v>47.5</v>
      </c>
      <c r="I221" s="7" t="n">
        <v>0</v>
      </c>
      <c r="J221" s="7" t="n">
        <v>47.5</v>
      </c>
      <c r="K221" s="7" t="n">
        <v>5.73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7" t="n">
        <v>30</v>
      </c>
      <c r="E222" s="7" t="n">
        <v>0</v>
      </c>
      <c r="F222" s="7" t="n">
        <v>7.75</v>
      </c>
      <c r="G222" s="7" t="n">
        <v>0</v>
      </c>
      <c r="H222" s="7" t="n">
        <v>37.75</v>
      </c>
      <c r="I222" s="7" t="n">
        <v>0</v>
      </c>
      <c r="J222" s="7" t="n">
        <v>37.75</v>
      </c>
      <c r="K222" s="7" t="n">
        <v>4.56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7">
        <f>SUMIFS($D$7:$D$222,$B$7:$B$222,$B231)</f>
        <v/>
      </c>
      <c r="E231" s="7">
        <f>SUMIFS($E$7:$E$222,$B$7:$B$222,$B231)</f>
        <v/>
      </c>
      <c r="F231" s="7">
        <f>SUMIFS($F$7:$F$222,$B$7:$B$222,$B231)</f>
        <v/>
      </c>
      <c r="G231" s="7">
        <f>SUMIFS($G$7:$G$222,$B$7:$B$222,$B231)</f>
        <v/>
      </c>
      <c r="H231" s="7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7">
        <f>SUMIFS($D$7:$D$222,$B$7:$B$222,$B232)</f>
        <v/>
      </c>
      <c r="E232" s="7">
        <f>SUMIFS($E$7:$E$222,$B$7:$B$222,$B232)</f>
        <v/>
      </c>
      <c r="F232" s="7">
        <f>SUMIFS($F$7:$F$222,$B$7:$B$222,$B232)</f>
        <v/>
      </c>
      <c r="G232" s="7">
        <f>SUMIFS($G$7:$G$222,$B$7:$B$222,$B232)</f>
        <v/>
      </c>
      <c r="H232" s="7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7">
        <f>SUMIFS($D$7:$D$222,$B$7:$B$222,$B233)</f>
        <v/>
      </c>
      <c r="E233" s="7">
        <f>SUMIFS($E$7:$E$222,$B$7:$B$222,$B233)</f>
        <v/>
      </c>
      <c r="F233" s="7">
        <f>SUMIFS($F$7:$F$222,$B$7:$B$222,$B233)</f>
        <v/>
      </c>
      <c r="G233" s="7">
        <f>SUMIFS($G$7:$G$222,$B$7:$B$222,$B233)</f>
        <v/>
      </c>
      <c r="H233" s="7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7">
        <f>SUMIFS($D$7:$D$222,$B$7:$B$222,$B234)</f>
        <v/>
      </c>
      <c r="E234" s="7">
        <f>SUMIFS($E$7:$E$222,$B$7:$B$222,$B234)</f>
        <v/>
      </c>
      <c r="F234" s="7">
        <f>SUMIFS($F$7:$F$222,$B$7:$B$222,$B234)</f>
        <v/>
      </c>
      <c r="G234" s="7">
        <f>SUMIFS($G$7:$G$222,$B$7:$B$222,$B234)</f>
        <v/>
      </c>
      <c r="H234" s="7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7">
        <f>SUMIFS($D$7:$D$222,$B$7:$B$222,$B235)</f>
        <v/>
      </c>
      <c r="E235" s="7">
        <f>SUMIFS($E$7:$E$222,$B$7:$B$222,$B235)</f>
        <v/>
      </c>
      <c r="F235" s="7">
        <f>SUMIFS($F$7:$F$222,$B$7:$B$222,$B235)</f>
        <v/>
      </c>
      <c r="G235" s="7">
        <f>SUMIFS($G$7:$G$222,$B$7:$B$222,$B235)</f>
        <v/>
      </c>
      <c r="H235" s="7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7">
        <f>SUMIFS($D$7:$D$222,$B$7:$B$222,$B236)</f>
        <v/>
      </c>
      <c r="E236" s="7">
        <f>SUMIFS($E$7:$E$222,$B$7:$B$222,$B236)</f>
        <v/>
      </c>
      <c r="F236" s="7">
        <f>SUMIFS($F$7:$F$222,$B$7:$B$222,$B236)</f>
        <v/>
      </c>
      <c r="G236" s="7">
        <f>SUMIFS($G$7:$G$222,$B$7:$B$222,$B236)</f>
        <v/>
      </c>
      <c r="H236" s="7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7">
        <f>SUMIFS($D$7:$D$222,$B$7:$B$222,$B237)</f>
        <v/>
      </c>
      <c r="E237" s="7">
        <f>SUMIFS($E$7:$E$222,$B$7:$B$222,$B237)</f>
        <v/>
      </c>
      <c r="F237" s="7">
        <f>SUMIFS($F$7:$F$222,$B$7:$B$222,$B237)</f>
        <v/>
      </c>
      <c r="G237" s="7">
        <f>SUMIFS($G$7:$G$222,$B$7:$B$222,$B237)</f>
        <v/>
      </c>
      <c r="H237" s="7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7">
        <f>SUMIFS($D$7:$D$222,$B$7:$B$222,$B238)</f>
        <v/>
      </c>
      <c r="E238" s="7">
        <f>SUMIFS($E$7:$E$222,$B$7:$B$222,$B238)</f>
        <v/>
      </c>
      <c r="F238" s="7">
        <f>SUMIFS($F$7:$F$222,$B$7:$B$222,$B238)</f>
        <v/>
      </c>
      <c r="G238" s="7">
        <f>SUMIFS($G$7:$G$222,$B$7:$B$222,$B238)</f>
        <v/>
      </c>
      <c r="H238" s="7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7">
        <f>SUMIFS($D$7:$D$222,$B$7:$B$222,$B239)</f>
        <v/>
      </c>
      <c r="E239" s="7">
        <f>SUMIFS($E$7:$E$222,$B$7:$B$222,$B239)</f>
        <v/>
      </c>
      <c r="F239" s="7">
        <f>SUMIFS($F$7:$F$222,$B$7:$B$222,$B239)</f>
        <v/>
      </c>
      <c r="G239" s="7">
        <f>SUMIFS($G$7:$G$222,$B$7:$B$222,$B239)</f>
        <v/>
      </c>
      <c r="H239" s="7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7">
        <f>SUMIFS($D$7:$D$222,$B$7:$B$222,$B240)</f>
        <v/>
      </c>
      <c r="E240" s="7">
        <f>SUMIFS($E$7:$E$222,$B$7:$B$222,$B240)</f>
        <v/>
      </c>
      <c r="F240" s="7">
        <f>SUMIFS($F$7:$F$222,$B$7:$B$222,$B240)</f>
        <v/>
      </c>
      <c r="G240" s="7">
        <f>SUMIFS($G$7:$G$222,$B$7:$B$222,$B240)</f>
        <v/>
      </c>
      <c r="H240" s="7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7">
        <f>SUMIFS($D$7:$D$222,$B$7:$B$222,$B241)</f>
        <v/>
      </c>
      <c r="E241" s="7">
        <f>SUMIFS($E$7:$E$222,$B$7:$B$222,$B241)</f>
        <v/>
      </c>
      <c r="F241" s="7">
        <f>SUMIFS($F$7:$F$222,$B$7:$B$222,$B241)</f>
        <v/>
      </c>
      <c r="G241" s="7">
        <f>SUMIFS($G$7:$G$222,$B$7:$B$222,$B241)</f>
        <v/>
      </c>
      <c r="H241" s="7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7">
        <f>SUMIFS($D$7:$D$222,$B$7:$B$222,$B242)</f>
        <v/>
      </c>
      <c r="E242" s="7">
        <f>SUMIFS($E$7:$E$222,$B$7:$B$222,$B242)</f>
        <v/>
      </c>
      <c r="F242" s="7">
        <f>SUMIFS($F$7:$F$222,$B$7:$B$222,$B242)</f>
        <v/>
      </c>
      <c r="G242" s="7">
        <f>SUMIFS($G$7:$G$222,$B$7:$B$222,$B242)</f>
        <v/>
      </c>
      <c r="H242" s="7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7">
        <f>SUMIFS($D$7:$D$222,$B$7:$B$222,$B243)</f>
        <v/>
      </c>
      <c r="E243" s="7">
        <f>SUMIFS($E$7:$E$222,$B$7:$B$222,$B243)</f>
        <v/>
      </c>
      <c r="F243" s="7">
        <f>SUMIFS($F$7:$F$222,$B$7:$B$222,$B243)</f>
        <v/>
      </c>
      <c r="G243" s="7">
        <f>SUMIFS($G$7:$G$222,$B$7:$B$222,$B243)</f>
        <v/>
      </c>
      <c r="H243" s="7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7">
        <f>SUMIFS($D$7:$D$222,$B$7:$B$222,$B244)</f>
        <v/>
      </c>
      <c r="E244" s="7">
        <f>SUMIFS($E$7:$E$222,$B$7:$B$222,$B244)</f>
        <v/>
      </c>
      <c r="F244" s="7">
        <f>SUMIFS($F$7:$F$222,$B$7:$B$222,$B244)</f>
        <v/>
      </c>
      <c r="G244" s="7">
        <f>SUMIFS($G$7:$G$222,$B$7:$B$222,$B244)</f>
        <v/>
      </c>
      <c r="H244" s="7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7">
        <f>SUMIFS($D$7:$D$222,$B$7:$B$222,$B245)</f>
        <v/>
      </c>
      <c r="E245" s="7">
        <f>SUMIFS($E$7:$E$222,$B$7:$B$222,$B245)</f>
        <v/>
      </c>
      <c r="F245" s="7">
        <f>SUMIFS($F$7:$F$222,$B$7:$B$222,$B245)</f>
        <v/>
      </c>
      <c r="G245" s="7">
        <f>SUMIFS($G$7:$G$222,$B$7:$B$222,$B245)</f>
        <v/>
      </c>
      <c r="H245" s="7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7">
        <f>SUMIFS($D$7:$D$222,$B$7:$B$222,$B246)</f>
        <v/>
      </c>
      <c r="E246" s="7">
        <f>SUMIFS($E$7:$E$222,$B$7:$B$222,$B246)</f>
        <v/>
      </c>
      <c r="F246" s="7">
        <f>SUMIFS($F$7:$F$222,$B$7:$B$222,$B246)</f>
        <v/>
      </c>
      <c r="G246" s="7">
        <f>SUMIFS($G$7:$G$222,$B$7:$B$222,$B246)</f>
        <v/>
      </c>
      <c r="H246" s="7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7">
        <f>SUMIFS($D$7:$D$222,$B$7:$B$222,$B247)</f>
        <v/>
      </c>
      <c r="E247" s="7">
        <f>SUMIFS($E$7:$E$222,$B$7:$B$222,$B247)</f>
        <v/>
      </c>
      <c r="F247" s="7">
        <f>SUMIFS($F$7:$F$222,$B$7:$B$222,$B247)</f>
        <v/>
      </c>
      <c r="G247" s="7">
        <f>SUMIFS($G$7:$G$222,$B$7:$B$222,$B247)</f>
        <v/>
      </c>
      <c r="H247" s="7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7">
        <f>SUMIFS($D$7:$D$222,$B$7:$B$222,$B248)</f>
        <v/>
      </c>
      <c r="E248" s="7">
        <f>SUMIFS($E$7:$E$222,$B$7:$B$222,$B248)</f>
        <v/>
      </c>
      <c r="F248" s="7">
        <f>SUMIFS($F$7:$F$222,$B$7:$B$222,$B248)</f>
        <v/>
      </c>
      <c r="G248" s="7">
        <f>SUMIFS($G$7:$G$222,$B$7:$B$222,$B248)</f>
        <v/>
      </c>
      <c r="H248" s="7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7">
        <f>SUMIFS($D$7:$D$222,$B$7:$B$222,$B249)</f>
        <v/>
      </c>
      <c r="E249" s="7">
        <f>SUMIFS($E$7:$E$222,$B$7:$B$222,$B249)</f>
        <v/>
      </c>
      <c r="F249" s="7">
        <f>SUMIFS($F$7:$F$222,$B$7:$B$222,$B249)</f>
        <v/>
      </c>
      <c r="G249" s="7">
        <f>SUMIFS($G$7:$G$222,$B$7:$B$222,$B249)</f>
        <v/>
      </c>
      <c r="H249" s="7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7">
        <f>SUMIFS($D$7:$D$222,$B$7:$B$222,$B250)</f>
        <v/>
      </c>
      <c r="E250" s="7">
        <f>SUMIFS($E$7:$E$222,$B$7:$B$222,$B250)</f>
        <v/>
      </c>
      <c r="F250" s="7">
        <f>SUMIFS($F$7:$F$222,$B$7:$B$222,$B250)</f>
        <v/>
      </c>
      <c r="G250" s="7">
        <f>SUMIFS($G$7:$G$222,$B$7:$B$222,$B250)</f>
        <v/>
      </c>
      <c r="H250" s="7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7">
        <f>SUMIFS($D$7:$D$222,$B$7:$B$222,$B251)</f>
        <v/>
      </c>
      <c r="E251" s="7">
        <f>SUMIFS($E$7:$E$222,$B$7:$B$222,$B251)</f>
        <v/>
      </c>
      <c r="F251" s="7">
        <f>SUMIFS($F$7:$F$222,$B$7:$B$222,$B251)</f>
        <v/>
      </c>
      <c r="G251" s="7">
        <f>SUMIFS($G$7:$G$222,$B$7:$B$222,$B251)</f>
        <v/>
      </c>
      <c r="H251" s="7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7">
        <f>SUMIFS($D$7:$D$222,$B$7:$B$222,$B252)</f>
        <v/>
      </c>
      <c r="E252" s="7">
        <f>SUMIFS($E$7:$E$222,$B$7:$B$222,$B252)</f>
        <v/>
      </c>
      <c r="F252" s="7">
        <f>SUMIFS($F$7:$F$222,$B$7:$B$222,$B252)</f>
        <v/>
      </c>
      <c r="G252" s="7">
        <f>SUMIFS($G$7:$G$222,$B$7:$B$222,$B252)</f>
        <v/>
      </c>
      <c r="H252" s="7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7">
        <f>SUMIFS($D$7:$D$222,$B$7:$B$222,$B253)</f>
        <v/>
      </c>
      <c r="E253" s="7">
        <f>SUMIFS($E$7:$E$222,$B$7:$B$222,$B253)</f>
        <v/>
      </c>
      <c r="F253" s="7">
        <f>SUMIFS($F$7:$F$222,$B$7:$B$222,$B253)</f>
        <v/>
      </c>
      <c r="G253" s="7">
        <f>SUMIFS($G$7:$G$222,$B$7:$B$222,$B253)</f>
        <v/>
      </c>
      <c r="H253" s="7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7">
        <f>SUMIFS($D$7:$D$222,$B$7:$B$222,$B254)</f>
        <v/>
      </c>
      <c r="E254" s="7">
        <f>SUMIFS($E$7:$E$222,$B$7:$B$222,$B254)</f>
        <v/>
      </c>
      <c r="F254" s="7">
        <f>SUMIFS($F$7:$F$222,$B$7:$B$222,$B254)</f>
        <v/>
      </c>
      <c r="G254" s="7">
        <f>SUMIFS($G$7:$G$222,$B$7:$B$222,$B254)</f>
        <v/>
      </c>
      <c r="H254" s="7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7">
        <f>SUMIFS($D$7:$D$222,$B$7:$B$222,$B255)</f>
        <v/>
      </c>
      <c r="E255" s="7">
        <f>SUMIFS($E$7:$E$222,$B$7:$B$222,$B255)</f>
        <v/>
      </c>
      <c r="F255" s="7">
        <f>SUMIFS($F$7:$F$222,$B$7:$B$222,$B255)</f>
        <v/>
      </c>
      <c r="G255" s="7">
        <f>SUMIFS($G$7:$G$222,$B$7:$B$222,$B255)</f>
        <v/>
      </c>
      <c r="H255" s="7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7">
        <f>SUMIFS($D$7:$D$222,$B$7:$B$222,$B256)</f>
        <v/>
      </c>
      <c r="E256" s="7">
        <f>SUMIFS($E$7:$E$222,$B$7:$B$222,$B256)</f>
        <v/>
      </c>
      <c r="F256" s="7">
        <f>SUMIFS($F$7:$F$222,$B$7:$B$222,$B256)</f>
        <v/>
      </c>
      <c r="G256" s="7">
        <f>SUMIFS($G$7:$G$222,$B$7:$B$222,$B256)</f>
        <v/>
      </c>
      <c r="H256" s="7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7">
        <f>SUMIFS($D$7:$D$222,$B$7:$B$222,$B257)</f>
        <v/>
      </c>
      <c r="E257" s="7">
        <f>SUMIFS($E$7:$E$222,$B$7:$B$222,$B257)</f>
        <v/>
      </c>
      <c r="F257" s="7">
        <f>SUMIFS($F$7:$F$222,$B$7:$B$222,$B257)</f>
        <v/>
      </c>
      <c r="G257" s="7">
        <f>SUMIFS($G$7:$G$222,$B$7:$B$222,$B257)</f>
        <v/>
      </c>
      <c r="H257" s="7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7" t="n">
        <v>199.5</v>
      </c>
      <c r="E262" s="7" t="n">
        <v>15.25</v>
      </c>
      <c r="F262" s="7" t="n">
        <v>0</v>
      </c>
      <c r="G262" s="7" t="n">
        <v>0</v>
      </c>
      <c r="H262" s="7" t="n">
        <v>214.75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7" t="n">
        <v>7.5</v>
      </c>
      <c r="E263" s="7" t="n">
        <v>0</v>
      </c>
      <c r="F263" s="7" t="n">
        <v>0</v>
      </c>
      <c r="G263" s="7" t="n">
        <v>0</v>
      </c>
      <c r="H263" s="7" t="n">
        <v>7.5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7" t="n">
        <v>40.5</v>
      </c>
      <c r="E264" s="7" t="n">
        <v>0</v>
      </c>
      <c r="F264" s="7" t="n">
        <v>0</v>
      </c>
      <c r="G264" s="7" t="n">
        <v>0</v>
      </c>
      <c r="H264" s="7" t="n">
        <v>40.5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7" t="n">
        <v>526.25</v>
      </c>
      <c r="E265" s="7" t="n">
        <v>24.75</v>
      </c>
      <c r="F265" s="7" t="n">
        <v>0</v>
      </c>
      <c r="G265" s="7" t="n">
        <v>0</v>
      </c>
      <c r="H265" s="7" t="n">
        <v>551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7" t="n">
        <v>821.75</v>
      </c>
      <c r="E266" s="7" t="n">
        <v>75</v>
      </c>
      <c r="F266" s="7" t="n">
        <v>0</v>
      </c>
      <c r="G266" s="7" t="n">
        <v>0</v>
      </c>
      <c r="H266" s="7" t="n">
        <v>896.75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7" t="n">
        <v>57.75</v>
      </c>
      <c r="E267" s="7" t="n">
        <v>0</v>
      </c>
      <c r="F267" s="7" t="n">
        <v>0</v>
      </c>
      <c r="G267" s="7" t="n">
        <v>0</v>
      </c>
      <c r="H267" s="7" t="n">
        <v>57.75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7" t="n">
        <v>41.25</v>
      </c>
      <c r="E268" s="7" t="n">
        <v>2.5</v>
      </c>
      <c r="F268" s="7" t="n">
        <v>0</v>
      </c>
      <c r="G268" s="7" t="n">
        <v>0</v>
      </c>
      <c r="H268" s="7" t="n">
        <v>43.75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7" t="n">
        <v>37.5</v>
      </c>
      <c r="E269" s="7" t="n">
        <v>0</v>
      </c>
      <c r="F269" s="7" t="n">
        <v>0</v>
      </c>
      <c r="G269" s="7" t="n">
        <v>0</v>
      </c>
      <c r="H269" s="7" t="n">
        <v>37.5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7" t="n">
        <v>40</v>
      </c>
      <c r="E270" s="7" t="n">
        <v>7.75</v>
      </c>
      <c r="F270" s="7" t="n">
        <v>0</v>
      </c>
      <c r="G270" s="7" t="n">
        <v>0</v>
      </c>
      <c r="H270" s="7" t="n">
        <v>47.75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7" t="n">
        <v>22</v>
      </c>
      <c r="E271" s="7" t="n">
        <v>0</v>
      </c>
      <c r="F271" s="7" t="n">
        <v>0</v>
      </c>
      <c r="G271" s="7" t="n">
        <v>0</v>
      </c>
      <c r="H271" s="7" t="n">
        <v>22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7" t="n">
        <v>41</v>
      </c>
      <c r="E272" s="7" t="n">
        <v>8.5</v>
      </c>
      <c r="F272" s="7" t="n">
        <v>0</v>
      </c>
      <c r="G272" s="7" t="n">
        <v>0</v>
      </c>
      <c r="H272" s="7" t="n">
        <v>49.5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7" t="n">
        <v>196.5</v>
      </c>
      <c r="E273" s="7" t="n">
        <v>25.5</v>
      </c>
      <c r="F273" s="7" t="n">
        <v>8.5</v>
      </c>
      <c r="G273" s="7" t="n">
        <v>0</v>
      </c>
      <c r="H273" s="7" t="n">
        <v>230.5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7" t="n">
        <v>41.25</v>
      </c>
      <c r="E274" s="7" t="n">
        <v>25</v>
      </c>
      <c r="F274" s="7" t="n">
        <v>0</v>
      </c>
      <c r="G274" s="7" t="n">
        <v>0</v>
      </c>
      <c r="H274" s="7" t="n">
        <v>66.25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7" t="n">
        <v>451.25</v>
      </c>
      <c r="E275" s="7" t="n">
        <v>38.75</v>
      </c>
      <c r="F275" s="7" t="n">
        <v>0</v>
      </c>
      <c r="G275" s="7" t="n">
        <v>0</v>
      </c>
      <c r="H275" s="7" t="n">
        <v>490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7" t="n">
        <v>756.25</v>
      </c>
      <c r="E276" s="7" t="n">
        <v>119</v>
      </c>
      <c r="F276" s="7" t="n">
        <v>0</v>
      </c>
      <c r="G276" s="7" t="n">
        <v>56</v>
      </c>
      <c r="H276" s="7" t="n">
        <v>931.25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7" t="n">
        <v>1378</v>
      </c>
      <c r="E277" s="7" t="n">
        <v>92.25</v>
      </c>
      <c r="F277" s="7" t="n">
        <v>0</v>
      </c>
      <c r="G277" s="7" t="n">
        <v>16</v>
      </c>
      <c r="H277" s="7" t="n">
        <v>1486.25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7" t="n">
        <v>189.5</v>
      </c>
      <c r="E278" s="7" t="n">
        <v>15</v>
      </c>
      <c r="F278" s="7" t="n">
        <v>0</v>
      </c>
      <c r="G278" s="7" t="n">
        <v>0</v>
      </c>
      <c r="H278" s="7" t="n">
        <v>204.5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7" t="n">
        <v>141.75</v>
      </c>
      <c r="E279" s="7" t="n">
        <v>22.25</v>
      </c>
      <c r="F279" s="7" t="n">
        <v>7.75</v>
      </c>
      <c r="G279" s="7" t="n">
        <v>0</v>
      </c>
      <c r="H279" s="7" t="n">
        <v>171.75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7" t="n">
        <v>2240.75</v>
      </c>
      <c r="E284" s="7" t="n">
        <v>175.75</v>
      </c>
      <c r="F284" s="7" t="n">
        <v>0</v>
      </c>
      <c r="G284" s="7" t="n">
        <v>16</v>
      </c>
      <c r="H284" s="7" t="n">
        <v>2432.5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7" t="n">
        <v>1390.75</v>
      </c>
      <c r="E285" s="7" t="n">
        <v>168.75</v>
      </c>
      <c r="F285" s="7" t="n">
        <v>0</v>
      </c>
      <c r="G285" s="7" t="n">
        <v>56</v>
      </c>
      <c r="H285" s="7" t="n">
        <v>1615.5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7" t="n">
        <v>183</v>
      </c>
      <c r="E286" s="7" t="n">
        <v>24.75</v>
      </c>
      <c r="F286" s="7" t="n">
        <v>7.75</v>
      </c>
      <c r="G286" s="7" t="n">
        <v>0</v>
      </c>
      <c r="H286" s="7" t="n">
        <v>215.5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7" t="n">
        <v>396</v>
      </c>
      <c r="E287" s="7" t="n">
        <v>40.75</v>
      </c>
      <c r="F287" s="7" t="n">
        <v>8.5</v>
      </c>
      <c r="G287" s="7" t="n">
        <v>0</v>
      </c>
      <c r="H287" s="7" t="n">
        <v>445.25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7" t="n">
        <v>247.25</v>
      </c>
      <c r="E288" s="7" t="n">
        <v>15</v>
      </c>
      <c r="F288" s="7" t="n">
        <v>0</v>
      </c>
      <c r="G288" s="7" t="n">
        <v>0</v>
      </c>
      <c r="H288" s="7" t="n">
        <v>262.25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7" t="n">
        <v>531.75</v>
      </c>
      <c r="E289" s="7" t="n">
        <v>46.5</v>
      </c>
      <c r="F289" s="7" t="n">
        <v>0</v>
      </c>
      <c r="G289" s="7" t="n">
        <v>0</v>
      </c>
      <c r="H289" s="7" t="n">
        <v>578.25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7">
        <f>SUM($D$7:$D$222)-D295</f>
        <v/>
      </c>
      <c r="E294" s="7">
        <f>SUM($E$7:$E$222)-E295</f>
        <v/>
      </c>
      <c r="F294" s="7">
        <f>SUM($F$7:$F$222)-F295</f>
        <v/>
      </c>
      <c r="G294" s="7">
        <f>SUM($G$7:$G$222)-G295</f>
        <v/>
      </c>
      <c r="H294" s="7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7">
        <f>SUMPRODUCT((LEFT($B$7:$B$222,2)="A-")*($D$7:$D$222))</f>
        <v/>
      </c>
      <c r="E295" s="7">
        <f>SUMPRODUCT((LEFT($B$7:$B$222,2)="A-")*($E$7:$E$222))</f>
        <v/>
      </c>
      <c r="F295" s="7">
        <f>SUMPRODUCT((LEFT($B$7:$B$222,2)="A-")*($F$7:$F$222))</f>
        <v/>
      </c>
      <c r="G295" s="7">
        <f>SUMPRODUCT((LEFT($B$7:$B$222,2)="A-")*($G$7:$G$222))</f>
        <v/>
      </c>
      <c r="H295" s="7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7">
        <f>D294+D295</f>
        <v/>
      </c>
      <c r="E296" s="7">
        <f>E294+E295</f>
        <v/>
      </c>
      <c r="F296" s="7">
        <f>F294+F295</f>
        <v/>
      </c>
      <c r="G296" s="7">
        <f>G294+G295</f>
        <v/>
      </c>
      <c r="H296" s="7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7">
        <f>SUM($J$7:$J$222)-J302</f>
        <v/>
      </c>
      <c r="K301" s="7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7">
        <f>SUMPRODUCT((LEFT($B$7:$B$222,2)="A-")*($J$7:$J$222))</f>
        <v/>
      </c>
      <c r="K302" s="7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7">
        <f>J301+J302</f>
        <v/>
      </c>
      <c r="K303" s="7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4</t>
        </is>
      </c>
    </row>
    <row r="2">
      <c r="A2" s="2" t="inlineStr"/>
    </row>
    <row r="4">
      <c r="A4" s="3" t="inlineStr">
        <is>
          <t>Week 4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41</v>
      </c>
      <c r="E7" s="7" t="n">
        <v>0</v>
      </c>
      <c r="F7" s="7" t="n">
        <v>0</v>
      </c>
      <c r="G7" s="7" t="n">
        <v>0</v>
      </c>
      <c r="H7" s="7" t="n">
        <v>41</v>
      </c>
      <c r="I7" s="7" t="n">
        <v>0</v>
      </c>
      <c r="J7" s="7" t="n">
        <v>41</v>
      </c>
      <c r="K7" s="7" t="n">
        <v>4.95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7" t="n">
        <v>32.75</v>
      </c>
      <c r="E10" s="7" t="n">
        <v>0</v>
      </c>
      <c r="F10" s="7" t="n">
        <v>4.5</v>
      </c>
      <c r="G10" s="7" t="n">
        <v>0</v>
      </c>
      <c r="H10" s="7" t="n">
        <v>37.25</v>
      </c>
      <c r="I10" s="7" t="n">
        <v>0</v>
      </c>
      <c r="J10" s="7" t="n">
        <v>37.25</v>
      </c>
      <c r="K10" s="7" t="n">
        <v>4.5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7" t="n">
        <v>41.25</v>
      </c>
      <c r="E11" s="7" t="n">
        <v>9.5</v>
      </c>
      <c r="F11" s="7" t="n">
        <v>0</v>
      </c>
      <c r="G11" s="7" t="n">
        <v>0</v>
      </c>
      <c r="H11" s="7" t="n">
        <v>50.75</v>
      </c>
      <c r="I11" s="7" t="n">
        <v>0</v>
      </c>
      <c r="J11" s="7" t="n">
        <v>50.75</v>
      </c>
      <c r="K11" s="7" t="n">
        <v>6.13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7" t="n">
        <v>39.5</v>
      </c>
      <c r="E13" s="7" t="n">
        <v>0</v>
      </c>
      <c r="F13" s="7" t="n">
        <v>0</v>
      </c>
      <c r="G13" s="7" t="n">
        <v>0</v>
      </c>
      <c r="H13" s="7" t="n">
        <v>39.5</v>
      </c>
      <c r="I13" s="7" t="n">
        <v>0</v>
      </c>
      <c r="J13" s="7" t="n">
        <v>39.5</v>
      </c>
      <c r="K13" s="7" t="n">
        <v>4.77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7" t="n">
        <v>34.25</v>
      </c>
      <c r="E15" s="7" t="n">
        <v>0</v>
      </c>
      <c r="F15" s="7" t="n">
        <v>5.25</v>
      </c>
      <c r="G15" s="7" t="n">
        <v>0</v>
      </c>
      <c r="H15" s="7" t="n">
        <v>39.5</v>
      </c>
      <c r="I15" s="7" t="n">
        <v>0</v>
      </c>
      <c r="J15" s="7" t="n">
        <v>39.5</v>
      </c>
      <c r="K15" s="7" t="n">
        <v>4.77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7" t="n">
        <v>41</v>
      </c>
      <c r="E16" s="7" t="n">
        <v>0</v>
      </c>
      <c r="F16" s="7" t="n">
        <v>0</v>
      </c>
      <c r="G16" s="7" t="n">
        <v>0</v>
      </c>
      <c r="H16" s="7" t="n">
        <v>41</v>
      </c>
      <c r="I16" s="7" t="n">
        <v>0</v>
      </c>
      <c r="J16" s="7" t="n">
        <v>41</v>
      </c>
      <c r="K16" s="7" t="n">
        <v>4.95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7" t="n">
        <v>40</v>
      </c>
      <c r="E19" s="7" t="n">
        <v>0</v>
      </c>
      <c r="F19" s="7" t="n">
        <v>0</v>
      </c>
      <c r="G19" s="7" t="n">
        <v>0</v>
      </c>
      <c r="H19" s="7" t="n">
        <v>40</v>
      </c>
      <c r="I19" s="7" t="n">
        <v>0</v>
      </c>
      <c r="J19" s="7" t="n">
        <v>40</v>
      </c>
      <c r="K19" s="7" t="n">
        <v>4.83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7" t="n">
        <v>20</v>
      </c>
      <c r="E20" s="7" t="n">
        <v>0</v>
      </c>
      <c r="F20" s="7" t="n">
        <v>0</v>
      </c>
      <c r="G20" s="7" t="n">
        <v>0</v>
      </c>
      <c r="H20" s="7" t="n">
        <v>20</v>
      </c>
      <c r="I20" s="7" t="n">
        <v>0</v>
      </c>
      <c r="J20" s="7" t="n">
        <v>20</v>
      </c>
      <c r="K20" s="7" t="n">
        <v>2.41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7" t="n">
        <v>38.25</v>
      </c>
      <c r="E22" s="7" t="n">
        <v>0</v>
      </c>
      <c r="F22" s="7" t="n">
        <v>0</v>
      </c>
      <c r="G22" s="7" t="n">
        <v>0</v>
      </c>
      <c r="H22" s="7" t="n">
        <v>38.25</v>
      </c>
      <c r="I22" s="7" t="n">
        <v>0</v>
      </c>
      <c r="J22" s="7" t="n">
        <v>38.25</v>
      </c>
      <c r="K22" s="7" t="n">
        <v>4.62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RUTIKABEN VADDORIYA EOLL</t>
        </is>
      </c>
      <c r="B25" s="6" t="inlineStr">
        <is>
          <t>A-EL PKNG HIGH_RISK</t>
        </is>
      </c>
      <c r="C25" s="7" t="n">
        <v>1515</v>
      </c>
      <c r="D25" s="7" t="n">
        <v>38.75</v>
      </c>
      <c r="E25" s="7" t="n">
        <v>0</v>
      </c>
      <c r="F25" s="7" t="n">
        <v>0</v>
      </c>
      <c r="G25" s="7" t="n">
        <v>0</v>
      </c>
      <c r="H25" s="7" t="n">
        <v>38.75</v>
      </c>
      <c r="I25" s="7" t="n">
        <v>0</v>
      </c>
      <c r="J25" s="7" t="n">
        <v>38.75</v>
      </c>
      <c r="K25" s="7" t="n">
        <v>4.68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7" t="n">
        <v>35.5</v>
      </c>
      <c r="E28" s="7" t="n">
        <v>0</v>
      </c>
      <c r="F28" s="7" t="n">
        <v>0</v>
      </c>
      <c r="G28" s="7" t="n">
        <v>0</v>
      </c>
      <c r="H28" s="7" t="n">
        <v>35.5</v>
      </c>
      <c r="I28" s="7" t="n">
        <v>0</v>
      </c>
      <c r="J28" s="7" t="n">
        <v>35.5</v>
      </c>
      <c r="K28" s="7" t="n">
        <v>4.28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7" t="n">
        <v>40</v>
      </c>
      <c r="E32" s="7" t="n">
        <v>0</v>
      </c>
      <c r="F32" s="7" t="n">
        <v>0</v>
      </c>
      <c r="G32" s="7" t="n">
        <v>0</v>
      </c>
      <c r="H32" s="7" t="n">
        <v>40</v>
      </c>
      <c r="I32" s="7" t="n">
        <v>0</v>
      </c>
      <c r="J32" s="7" t="n">
        <v>40</v>
      </c>
      <c r="K32" s="7" t="n">
        <v>4.83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7" t="n">
        <v>19.75</v>
      </c>
      <c r="E33" s="7" t="n">
        <v>0</v>
      </c>
      <c r="F33" s="7" t="n">
        <v>0</v>
      </c>
      <c r="G33" s="7" t="n">
        <v>0</v>
      </c>
      <c r="H33" s="7" t="n">
        <v>19.75</v>
      </c>
      <c r="I33" s="7" t="n">
        <v>0</v>
      </c>
      <c r="J33" s="7" t="n">
        <v>19.75</v>
      </c>
      <c r="K33" s="7" t="n">
        <v>2.38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7" t="n">
        <v>8</v>
      </c>
      <c r="E37" s="7" t="n">
        <v>0</v>
      </c>
      <c r="F37" s="7" t="n">
        <v>0</v>
      </c>
      <c r="G37" s="7" t="n">
        <v>0</v>
      </c>
      <c r="H37" s="7" t="n">
        <v>8</v>
      </c>
      <c r="I37" s="7" t="n">
        <v>0</v>
      </c>
      <c r="J37" s="7" t="n">
        <v>8</v>
      </c>
      <c r="K37" s="7" t="n">
        <v>0.97</v>
      </c>
    </row>
    <row r="38">
      <c r="A38" s="6" t="inlineStr">
        <is>
          <t>PARSHOTAM PRADIPKUMAR EOLL</t>
        </is>
      </c>
      <c r="B38" s="6" t="inlineStr">
        <is>
          <t>A-EL PKNG HIGH_RISK</t>
        </is>
      </c>
      <c r="C38" s="7" t="n">
        <v>1426</v>
      </c>
      <c r="D38" s="7" t="n">
        <v>36.75</v>
      </c>
      <c r="E38" s="7" t="n">
        <v>0</v>
      </c>
      <c r="F38" s="7" t="n">
        <v>0</v>
      </c>
      <c r="G38" s="7" t="n">
        <v>0</v>
      </c>
      <c r="H38" s="7" t="n">
        <v>36.75</v>
      </c>
      <c r="I38" s="7" t="n">
        <v>0</v>
      </c>
      <c r="J38" s="7" t="n">
        <v>36.75</v>
      </c>
      <c r="K38" s="7" t="n">
        <v>4.44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7" t="n">
        <v>27</v>
      </c>
      <c r="E39" s="7" t="n">
        <v>0</v>
      </c>
      <c r="F39" s="7" t="n">
        <v>0</v>
      </c>
      <c r="G39" s="7" t="n">
        <v>0</v>
      </c>
      <c r="H39" s="7" t="n">
        <v>27</v>
      </c>
      <c r="I39" s="7" t="n">
        <v>0</v>
      </c>
      <c r="J39" s="7" t="n">
        <v>27</v>
      </c>
      <c r="K39" s="7" t="n">
        <v>3.26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7" t="n">
        <v>15</v>
      </c>
      <c r="E41" s="7" t="n">
        <v>0</v>
      </c>
      <c r="F41" s="7" t="n">
        <v>0</v>
      </c>
      <c r="G41" s="7" t="n">
        <v>0</v>
      </c>
      <c r="H41" s="7" t="n">
        <v>15</v>
      </c>
      <c r="I41" s="7" t="n">
        <v>0</v>
      </c>
      <c r="J41" s="7" t="n">
        <v>15</v>
      </c>
      <c r="K41" s="7" t="n">
        <v>1.81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7" t="n">
        <v>32.75</v>
      </c>
      <c r="E44" s="7" t="n">
        <v>0</v>
      </c>
      <c r="F44" s="7" t="n">
        <v>0</v>
      </c>
      <c r="G44" s="7" t="n">
        <v>0</v>
      </c>
      <c r="H44" s="7" t="n">
        <v>32.75</v>
      </c>
      <c r="I44" s="7" t="n">
        <v>0</v>
      </c>
      <c r="J44" s="7" t="n">
        <v>32.75</v>
      </c>
      <c r="K44" s="7" t="n">
        <v>3.95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7" t="n">
        <v>20</v>
      </c>
      <c r="E45" s="7" t="n">
        <v>0</v>
      </c>
      <c r="F45" s="7" t="n">
        <v>0</v>
      </c>
      <c r="G45" s="7" t="n">
        <v>0</v>
      </c>
      <c r="H45" s="7" t="n">
        <v>20</v>
      </c>
      <c r="I45" s="7" t="n">
        <v>0</v>
      </c>
      <c r="J45" s="7" t="n">
        <v>20</v>
      </c>
      <c r="K45" s="7" t="n">
        <v>2.41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7" t="n">
        <v>32.25</v>
      </c>
      <c r="E46" s="7" t="n">
        <v>7.5</v>
      </c>
      <c r="F46" s="7" t="n">
        <v>0</v>
      </c>
      <c r="G46" s="7" t="n">
        <v>0</v>
      </c>
      <c r="H46" s="7" t="n">
        <v>39.75</v>
      </c>
      <c r="I46" s="7" t="n">
        <v>0</v>
      </c>
      <c r="J46" s="7" t="n">
        <v>39.75</v>
      </c>
      <c r="K46" s="7" t="n">
        <v>4.8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7" t="n">
        <v>21.75</v>
      </c>
      <c r="E48" s="7" t="n">
        <v>0</v>
      </c>
      <c r="F48" s="7" t="n">
        <v>0</v>
      </c>
      <c r="G48" s="7" t="n">
        <v>0</v>
      </c>
      <c r="H48" s="7" t="n">
        <v>21.75</v>
      </c>
      <c r="I48" s="7" t="n">
        <v>0</v>
      </c>
      <c r="J48" s="7" t="n">
        <v>21.75</v>
      </c>
      <c r="K48" s="7" t="n">
        <v>2.63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7" t="n">
        <v>7.75</v>
      </c>
      <c r="E50" s="7" t="n">
        <v>0</v>
      </c>
      <c r="F50" s="7" t="n">
        <v>0</v>
      </c>
      <c r="G50" s="7" t="n">
        <v>0</v>
      </c>
      <c r="H50" s="7" t="n">
        <v>7.75</v>
      </c>
      <c r="I50" s="7" t="n">
        <v>0</v>
      </c>
      <c r="J50" s="7" t="n">
        <v>7.75</v>
      </c>
      <c r="K50" s="7" t="n">
        <v>0.9399999999999999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7" t="n">
        <v>40</v>
      </c>
      <c r="E51" s="7" t="n">
        <v>0</v>
      </c>
      <c r="F51" s="7" t="n">
        <v>0</v>
      </c>
      <c r="G51" s="7" t="n">
        <v>0</v>
      </c>
      <c r="H51" s="7" t="n">
        <v>40</v>
      </c>
      <c r="I51" s="7" t="n">
        <v>0</v>
      </c>
      <c r="J51" s="7" t="n">
        <v>40</v>
      </c>
      <c r="K51" s="7" t="n">
        <v>4.83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7" t="n">
        <v>38.75</v>
      </c>
      <c r="E52" s="7" t="n">
        <v>0</v>
      </c>
      <c r="F52" s="7" t="n">
        <v>0</v>
      </c>
      <c r="G52" s="7" t="n">
        <v>0</v>
      </c>
      <c r="H52" s="7" t="n">
        <v>38.75</v>
      </c>
      <c r="I52" s="7" t="n">
        <v>0</v>
      </c>
      <c r="J52" s="7" t="n">
        <v>38.75</v>
      </c>
      <c r="K52" s="7" t="n">
        <v>4.68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7" t="n">
        <v>22</v>
      </c>
      <c r="E53" s="7" t="n">
        <v>0</v>
      </c>
      <c r="F53" s="7" t="n">
        <v>0</v>
      </c>
      <c r="G53" s="7" t="n">
        <v>0</v>
      </c>
      <c r="H53" s="7" t="n">
        <v>22</v>
      </c>
      <c r="I53" s="7" t="n">
        <v>0</v>
      </c>
      <c r="J53" s="7" t="n">
        <v>22</v>
      </c>
      <c r="K53" s="7" t="n">
        <v>2.66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7" t="n">
        <v>14</v>
      </c>
      <c r="E54" s="7" t="n">
        <v>0</v>
      </c>
      <c r="F54" s="7" t="n">
        <v>0</v>
      </c>
      <c r="G54" s="7" t="n">
        <v>0</v>
      </c>
      <c r="H54" s="7" t="n">
        <v>14</v>
      </c>
      <c r="I54" s="7" t="n">
        <v>0</v>
      </c>
      <c r="J54" s="7" t="n">
        <v>14</v>
      </c>
      <c r="K54" s="7" t="n">
        <v>1.69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7" t="n">
        <v>37.5</v>
      </c>
      <c r="E55" s="7" t="n">
        <v>0</v>
      </c>
      <c r="F55" s="7" t="n">
        <v>0</v>
      </c>
      <c r="G55" s="7" t="n">
        <v>0</v>
      </c>
      <c r="H55" s="7" t="n">
        <v>37.5</v>
      </c>
      <c r="I55" s="7" t="n">
        <v>0</v>
      </c>
      <c r="J55" s="7" t="n">
        <v>37.5</v>
      </c>
      <c r="K55" s="7" t="n">
        <v>4.53</v>
      </c>
    </row>
    <row r="56">
      <c r="A56" s="6" t="inlineStr">
        <is>
          <t>ANGELO VAZ EOLL</t>
        </is>
      </c>
      <c r="B56" s="6" t="inlineStr">
        <is>
          <t>A-EL PKNG SLEEVING</t>
        </is>
      </c>
      <c r="C56" s="7" t="n">
        <v>1524</v>
      </c>
      <c r="D56" s="7" t="n">
        <v>6</v>
      </c>
      <c r="E56" s="7" t="n">
        <v>0</v>
      </c>
      <c r="F56" s="7" t="n">
        <v>0</v>
      </c>
      <c r="G56" s="7" t="n">
        <v>0</v>
      </c>
      <c r="H56" s="7" t="n">
        <v>6</v>
      </c>
      <c r="I56" s="7" t="n">
        <v>0</v>
      </c>
      <c r="J56" s="7" t="n">
        <v>6</v>
      </c>
      <c r="K56" s="7" t="n">
        <v>0.72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7" t="n">
        <v>39.75</v>
      </c>
      <c r="E60" s="7" t="n">
        <v>0</v>
      </c>
      <c r="F60" s="7" t="n">
        <v>0</v>
      </c>
      <c r="G60" s="7" t="n">
        <v>0</v>
      </c>
      <c r="H60" s="7" t="n">
        <v>39.75</v>
      </c>
      <c r="I60" s="7" t="n">
        <v>0</v>
      </c>
      <c r="J60" s="7" t="n">
        <v>39.75</v>
      </c>
      <c r="K60" s="7" t="n">
        <v>4.8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7" t="n">
        <v>39.75</v>
      </c>
      <c r="E61" s="7" t="n">
        <v>0</v>
      </c>
      <c r="F61" s="7" t="n">
        <v>0</v>
      </c>
      <c r="G61" s="7" t="n">
        <v>0</v>
      </c>
      <c r="H61" s="7" t="n">
        <v>39.75</v>
      </c>
      <c r="I61" s="7" t="n">
        <v>0</v>
      </c>
      <c r="J61" s="7" t="n">
        <v>39.75</v>
      </c>
      <c r="K61" s="7" t="n">
        <v>4.8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7" t="n">
        <v>19.75</v>
      </c>
      <c r="E62" s="7" t="n">
        <v>0</v>
      </c>
      <c r="F62" s="7" t="n">
        <v>0</v>
      </c>
      <c r="G62" s="7" t="n">
        <v>0</v>
      </c>
      <c r="H62" s="7" t="n">
        <v>19.75</v>
      </c>
      <c r="I62" s="7" t="n">
        <v>0</v>
      </c>
      <c r="J62" s="7" t="n">
        <v>19.75</v>
      </c>
      <c r="K62" s="7" t="n">
        <v>2.38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7" t="n">
        <v>6</v>
      </c>
      <c r="E63" s="7" t="n">
        <v>0</v>
      </c>
      <c r="F63" s="7" t="n">
        <v>0</v>
      </c>
      <c r="G63" s="7" t="n">
        <v>0</v>
      </c>
      <c r="H63" s="7" t="n">
        <v>6</v>
      </c>
      <c r="I63" s="7" t="n">
        <v>0</v>
      </c>
      <c r="J63" s="7" t="n">
        <v>6</v>
      </c>
      <c r="K63" s="7" t="n">
        <v>0.72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7" t="n">
        <v>14.75</v>
      </c>
      <c r="E65" s="7" t="n">
        <v>0</v>
      </c>
      <c r="F65" s="7" t="n">
        <v>0</v>
      </c>
      <c r="G65" s="7" t="n">
        <v>0</v>
      </c>
      <c r="H65" s="7" t="n">
        <v>14.75</v>
      </c>
      <c r="I65" s="7" t="n">
        <v>0</v>
      </c>
      <c r="J65" s="7" t="n">
        <v>14.75</v>
      </c>
      <c r="K65" s="7" t="n">
        <v>1.78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7" t="n">
        <v>7.5</v>
      </c>
      <c r="E67" s="7" t="n">
        <v>0</v>
      </c>
      <c r="F67" s="7" t="n">
        <v>0</v>
      </c>
      <c r="G67" s="7" t="n">
        <v>0</v>
      </c>
      <c r="H67" s="7" t="n">
        <v>7.5</v>
      </c>
      <c r="I67" s="7" t="n">
        <v>0</v>
      </c>
      <c r="J67" s="7" t="n">
        <v>7.5</v>
      </c>
      <c r="K67" s="7" t="n">
        <v>0.91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7" t="n">
        <v>27.25</v>
      </c>
      <c r="E70" s="7" t="n">
        <v>0</v>
      </c>
      <c r="F70" s="7" t="n">
        <v>0</v>
      </c>
      <c r="G70" s="7" t="n">
        <v>0</v>
      </c>
      <c r="H70" s="7" t="n">
        <v>27.25</v>
      </c>
      <c r="I70" s="7" t="n">
        <v>0</v>
      </c>
      <c r="J70" s="7" t="n">
        <v>27.25</v>
      </c>
      <c r="K70" s="7" t="n">
        <v>3.29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7" t="n">
        <v>23</v>
      </c>
      <c r="E71" s="7" t="n">
        <v>0</v>
      </c>
      <c r="F71" s="7" t="n">
        <v>0</v>
      </c>
      <c r="G71" s="7" t="n">
        <v>0</v>
      </c>
      <c r="H71" s="7" t="n">
        <v>23</v>
      </c>
      <c r="I71" s="7" t="n">
        <v>0</v>
      </c>
      <c r="J71" s="7" t="n">
        <v>23</v>
      </c>
      <c r="K71" s="7" t="n">
        <v>2.78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7" t="n">
        <v>35.5</v>
      </c>
      <c r="E72" s="7" t="n">
        <v>0</v>
      </c>
      <c r="F72" s="7" t="n">
        <v>0</v>
      </c>
      <c r="G72" s="7" t="n">
        <v>0</v>
      </c>
      <c r="H72" s="7" t="n">
        <v>35.5</v>
      </c>
      <c r="I72" s="7" t="n">
        <v>0</v>
      </c>
      <c r="J72" s="7" t="n">
        <v>35.5</v>
      </c>
      <c r="K72" s="7" t="n">
        <v>4.28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7" t="n">
        <v>35.5</v>
      </c>
      <c r="E73" s="7" t="n">
        <v>0</v>
      </c>
      <c r="F73" s="7" t="n">
        <v>0</v>
      </c>
      <c r="G73" s="7" t="n">
        <v>0</v>
      </c>
      <c r="H73" s="7" t="n">
        <v>35.5</v>
      </c>
      <c r="I73" s="7" t="n">
        <v>0</v>
      </c>
      <c r="J73" s="7" t="n">
        <v>35.5</v>
      </c>
      <c r="K73" s="7" t="n">
        <v>4.28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7" t="n">
        <v>25.5</v>
      </c>
      <c r="E76" s="7" t="n">
        <v>0</v>
      </c>
      <c r="F76" s="7" t="n">
        <v>0</v>
      </c>
      <c r="G76" s="7" t="n">
        <v>0</v>
      </c>
      <c r="H76" s="7" t="n">
        <v>25.5</v>
      </c>
      <c r="I76" s="7" t="n">
        <v>0</v>
      </c>
      <c r="J76" s="7" t="n">
        <v>25.5</v>
      </c>
      <c r="K76" s="7" t="n">
        <v>3.08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7" t="n">
        <v>23</v>
      </c>
      <c r="E77" s="7" t="n">
        <v>0</v>
      </c>
      <c r="F77" s="7" t="n">
        <v>0</v>
      </c>
      <c r="G77" s="7" t="n">
        <v>0</v>
      </c>
      <c r="H77" s="7" t="n">
        <v>23</v>
      </c>
      <c r="I77" s="7" t="n">
        <v>0</v>
      </c>
      <c r="J77" s="7" t="n">
        <v>23</v>
      </c>
      <c r="K77" s="7" t="n">
        <v>2.78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7" t="n">
        <v>19.25</v>
      </c>
      <c r="E78" s="7" t="n">
        <v>0</v>
      </c>
      <c r="F78" s="7" t="n">
        <v>0</v>
      </c>
      <c r="G78" s="7" t="n">
        <v>0</v>
      </c>
      <c r="H78" s="7" t="n">
        <v>19.25</v>
      </c>
      <c r="I78" s="7" t="n">
        <v>0</v>
      </c>
      <c r="J78" s="7" t="n">
        <v>19.25</v>
      </c>
      <c r="K78" s="7" t="n">
        <v>2.32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7" t="n">
        <v>27.5</v>
      </c>
      <c r="E79" s="7" t="n">
        <v>0</v>
      </c>
      <c r="F79" s="7" t="n">
        <v>0</v>
      </c>
      <c r="G79" s="7" t="n">
        <v>0</v>
      </c>
      <c r="H79" s="7" t="n">
        <v>27.5</v>
      </c>
      <c r="I79" s="7" t="n">
        <v>0</v>
      </c>
      <c r="J79" s="7" t="n">
        <v>27.5</v>
      </c>
      <c r="K79" s="7" t="n">
        <v>3.32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7" t="n">
        <v>22.5</v>
      </c>
      <c r="E81" s="7" t="n">
        <v>0</v>
      </c>
      <c r="F81" s="7" t="n">
        <v>0</v>
      </c>
      <c r="G81" s="7" t="n">
        <v>0</v>
      </c>
      <c r="H81" s="7" t="n">
        <v>22.5</v>
      </c>
      <c r="I81" s="7" t="n">
        <v>0</v>
      </c>
      <c r="J81" s="7" t="n">
        <v>22.5</v>
      </c>
      <c r="K81" s="7" t="n">
        <v>2.72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7" t="n">
        <v>35.5</v>
      </c>
      <c r="E83" s="7" t="n">
        <v>0</v>
      </c>
      <c r="F83" s="7" t="n">
        <v>0</v>
      </c>
      <c r="G83" s="7" t="n">
        <v>0</v>
      </c>
      <c r="H83" s="7" t="n">
        <v>35.5</v>
      </c>
      <c r="I83" s="7" t="n">
        <v>0</v>
      </c>
      <c r="J83" s="7" t="n">
        <v>35.5</v>
      </c>
      <c r="K83" s="7" t="n">
        <v>4.28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7" t="n">
        <v>36</v>
      </c>
      <c r="E85" s="7" t="n">
        <v>0</v>
      </c>
      <c r="F85" s="7" t="n">
        <v>0</v>
      </c>
      <c r="G85" s="7" t="n">
        <v>0</v>
      </c>
      <c r="H85" s="7" t="n">
        <v>36</v>
      </c>
      <c r="I85" s="7" t="n">
        <v>0</v>
      </c>
      <c r="J85" s="7" t="n">
        <v>36</v>
      </c>
      <c r="K85" s="7" t="n">
        <v>4.35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7" t="n">
        <v>31.25</v>
      </c>
      <c r="E87" s="7" t="n">
        <v>0</v>
      </c>
      <c r="F87" s="7" t="n">
        <v>0</v>
      </c>
      <c r="G87" s="7" t="n">
        <v>0</v>
      </c>
      <c r="H87" s="7" t="n">
        <v>31.25</v>
      </c>
      <c r="I87" s="7" t="n">
        <v>0</v>
      </c>
      <c r="J87" s="7" t="n">
        <v>31.25</v>
      </c>
      <c r="K87" s="7" t="n">
        <v>3.77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7" t="n">
        <v>18</v>
      </c>
      <c r="E89" s="7" t="n">
        <v>0</v>
      </c>
      <c r="F89" s="7" t="n">
        <v>0</v>
      </c>
      <c r="G89" s="7" t="n">
        <v>0</v>
      </c>
      <c r="H89" s="7" t="n">
        <v>18</v>
      </c>
      <c r="I89" s="7" t="n">
        <v>0</v>
      </c>
      <c r="J89" s="7" t="n">
        <v>18</v>
      </c>
      <c r="K89" s="7" t="n">
        <v>2.17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7" t="n">
        <v>23</v>
      </c>
      <c r="E90" s="7" t="n">
        <v>0</v>
      </c>
      <c r="F90" s="7" t="n">
        <v>0</v>
      </c>
      <c r="G90" s="7" t="n">
        <v>0</v>
      </c>
      <c r="H90" s="7" t="n">
        <v>23</v>
      </c>
      <c r="I90" s="7" t="n">
        <v>0</v>
      </c>
      <c r="J90" s="7" t="n">
        <v>23</v>
      </c>
      <c r="K90" s="7" t="n">
        <v>2.78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7" t="n">
        <v>23</v>
      </c>
      <c r="E93" s="7" t="n">
        <v>0</v>
      </c>
      <c r="F93" s="7" t="n">
        <v>0</v>
      </c>
      <c r="G93" s="7" t="n">
        <v>0</v>
      </c>
      <c r="H93" s="7" t="n">
        <v>23</v>
      </c>
      <c r="I93" s="7" t="n">
        <v>0</v>
      </c>
      <c r="J93" s="7" t="n">
        <v>23</v>
      </c>
      <c r="K93" s="7" t="n">
        <v>2.78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7" t="n">
        <v>22.75</v>
      </c>
      <c r="E94" s="7" t="n">
        <v>0</v>
      </c>
      <c r="F94" s="7" t="n">
        <v>0</v>
      </c>
      <c r="G94" s="7" t="n">
        <v>0</v>
      </c>
      <c r="H94" s="7" t="n">
        <v>22.75</v>
      </c>
      <c r="I94" s="7" t="n">
        <v>0</v>
      </c>
      <c r="J94" s="7" t="n">
        <v>22.75</v>
      </c>
      <c r="K94" s="7" t="n">
        <v>2.75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7" t="n">
        <v>23</v>
      </c>
      <c r="E95" s="7" t="n">
        <v>0</v>
      </c>
      <c r="F95" s="7" t="n">
        <v>0</v>
      </c>
      <c r="G95" s="7" t="n">
        <v>0</v>
      </c>
      <c r="H95" s="7" t="n">
        <v>23</v>
      </c>
      <c r="I95" s="7" t="n">
        <v>0</v>
      </c>
      <c r="J95" s="7" t="n">
        <v>23</v>
      </c>
      <c r="K95" s="7" t="n">
        <v>2.78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7" t="n">
        <v>24.25</v>
      </c>
      <c r="E96" s="7" t="n">
        <v>0</v>
      </c>
      <c r="F96" s="7" t="n">
        <v>0</v>
      </c>
      <c r="G96" s="7" t="n">
        <v>0</v>
      </c>
      <c r="H96" s="7" t="n">
        <v>24.25</v>
      </c>
      <c r="I96" s="7" t="n">
        <v>0</v>
      </c>
      <c r="J96" s="7" t="n">
        <v>24.25</v>
      </c>
      <c r="K96" s="7" t="n">
        <v>2.93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7" t="n">
        <v>29</v>
      </c>
      <c r="E97" s="7" t="n">
        <v>0</v>
      </c>
      <c r="F97" s="7" t="n">
        <v>0</v>
      </c>
      <c r="G97" s="7" t="n">
        <v>0</v>
      </c>
      <c r="H97" s="7" t="n">
        <v>29</v>
      </c>
      <c r="I97" s="7" t="n">
        <v>0</v>
      </c>
      <c r="J97" s="7" t="n">
        <v>29</v>
      </c>
      <c r="K97" s="7" t="n">
        <v>3.5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7" t="n">
        <v>27</v>
      </c>
      <c r="E98" s="7" t="n">
        <v>0</v>
      </c>
      <c r="F98" s="7" t="n">
        <v>0</v>
      </c>
      <c r="G98" s="7" t="n">
        <v>0</v>
      </c>
      <c r="H98" s="7" t="n">
        <v>27</v>
      </c>
      <c r="I98" s="7" t="n">
        <v>0</v>
      </c>
      <c r="J98" s="7" t="n">
        <v>27</v>
      </c>
      <c r="K98" s="7" t="n">
        <v>3.26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7" t="n">
        <v>41.25</v>
      </c>
      <c r="E99" s="7" t="n">
        <v>0.25</v>
      </c>
      <c r="F99" s="7" t="n">
        <v>3.25</v>
      </c>
      <c r="G99" s="7" t="n">
        <v>0</v>
      </c>
      <c r="H99" s="7" t="n">
        <v>44.75</v>
      </c>
      <c r="I99" s="7" t="n">
        <v>0</v>
      </c>
      <c r="J99" s="7" t="n">
        <v>44.75</v>
      </c>
      <c r="K99" s="7" t="n">
        <v>5.4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7" t="n">
        <v>33.25</v>
      </c>
      <c r="E100" s="7" t="n">
        <v>0</v>
      </c>
      <c r="F100" s="7" t="n">
        <v>0</v>
      </c>
      <c r="G100" s="7" t="n">
        <v>0</v>
      </c>
      <c r="H100" s="7" t="n">
        <v>33.25</v>
      </c>
      <c r="I100" s="7" t="n">
        <v>0</v>
      </c>
      <c r="J100" s="7" t="n">
        <v>33.25</v>
      </c>
      <c r="K100" s="7" t="n">
        <v>4.01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7" t="n">
        <v>41.25</v>
      </c>
      <c r="E101" s="7" t="n">
        <v>1.5</v>
      </c>
      <c r="F101" s="7" t="n">
        <v>0</v>
      </c>
      <c r="G101" s="7" t="n">
        <v>0</v>
      </c>
      <c r="H101" s="7" t="n">
        <v>42.75</v>
      </c>
      <c r="I101" s="7" t="n">
        <v>0</v>
      </c>
      <c r="J101" s="7" t="n">
        <v>42.75</v>
      </c>
      <c r="K101" s="7" t="n">
        <v>5.16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7" t="n">
        <v>40.75</v>
      </c>
      <c r="E102" s="7" t="n">
        <v>0</v>
      </c>
      <c r="F102" s="7" t="n">
        <v>0</v>
      </c>
      <c r="G102" s="7" t="n">
        <v>0</v>
      </c>
      <c r="H102" s="7" t="n">
        <v>40.75</v>
      </c>
      <c r="I102" s="7" t="n">
        <v>0</v>
      </c>
      <c r="J102" s="7" t="n">
        <v>40.75</v>
      </c>
      <c r="K102" s="7" t="n">
        <v>4.92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7" t="n">
        <v>34.75</v>
      </c>
      <c r="E103" s="7" t="n">
        <v>0</v>
      </c>
      <c r="F103" s="7" t="n">
        <v>0</v>
      </c>
      <c r="G103" s="7" t="n">
        <v>0</v>
      </c>
      <c r="H103" s="7" t="n">
        <v>34.75</v>
      </c>
      <c r="I103" s="7" t="n">
        <v>0</v>
      </c>
      <c r="J103" s="7" t="n">
        <v>34.75</v>
      </c>
      <c r="K103" s="7" t="n">
        <v>4.19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7" t="n">
        <v>41.25</v>
      </c>
      <c r="E104" s="7" t="n">
        <v>3.75</v>
      </c>
      <c r="F104" s="7" t="n">
        <v>0</v>
      </c>
      <c r="G104" s="7" t="n">
        <v>0</v>
      </c>
      <c r="H104" s="7" t="n">
        <v>45</v>
      </c>
      <c r="I104" s="7" t="n">
        <v>0</v>
      </c>
      <c r="J104" s="7" t="n">
        <v>45</v>
      </c>
      <c r="K104" s="7" t="n">
        <v>5.43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7" t="n">
        <v>37.5</v>
      </c>
      <c r="E105" s="7" t="n">
        <v>0</v>
      </c>
      <c r="F105" s="7" t="n">
        <v>0</v>
      </c>
      <c r="G105" s="7" t="n">
        <v>0</v>
      </c>
      <c r="H105" s="7" t="n">
        <v>37.5</v>
      </c>
      <c r="I105" s="7" t="n">
        <v>0</v>
      </c>
      <c r="J105" s="7" t="n">
        <v>37.5</v>
      </c>
      <c r="K105" s="7" t="n">
        <v>4.53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7" t="n">
        <v>25.5</v>
      </c>
      <c r="E106" s="7" t="n">
        <v>0</v>
      </c>
      <c r="F106" s="7" t="n">
        <v>0</v>
      </c>
      <c r="G106" s="7" t="n">
        <v>0</v>
      </c>
      <c r="H106" s="7" t="n">
        <v>25.5</v>
      </c>
      <c r="I106" s="7" t="n">
        <v>0</v>
      </c>
      <c r="J106" s="7" t="n">
        <v>25.5</v>
      </c>
      <c r="K106" s="7" t="n">
        <v>3.08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7" t="n">
        <v>41.25</v>
      </c>
      <c r="E107" s="7" t="n">
        <v>7.25</v>
      </c>
      <c r="F107" s="7" t="n">
        <v>0</v>
      </c>
      <c r="G107" s="7" t="n">
        <v>0</v>
      </c>
      <c r="H107" s="7" t="n">
        <v>48.5</v>
      </c>
      <c r="I107" s="7" t="n">
        <v>0</v>
      </c>
      <c r="J107" s="7" t="n">
        <v>48.5</v>
      </c>
      <c r="K107" s="7" t="n">
        <v>5.85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7" t="n">
        <v>41.25</v>
      </c>
      <c r="E108" s="7" t="n">
        <v>2.25</v>
      </c>
      <c r="F108" s="7" t="n">
        <v>0</v>
      </c>
      <c r="G108" s="7" t="n">
        <v>0</v>
      </c>
      <c r="H108" s="7" t="n">
        <v>43.5</v>
      </c>
      <c r="I108" s="7" t="n">
        <v>0</v>
      </c>
      <c r="J108" s="7" t="n">
        <v>43.5</v>
      </c>
      <c r="K108" s="7" t="n">
        <v>5.25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7" t="n">
        <v>41.25</v>
      </c>
      <c r="E109" s="7" t="n">
        <v>10.25</v>
      </c>
      <c r="F109" s="7" t="n">
        <v>0</v>
      </c>
      <c r="G109" s="7" t="n">
        <v>0</v>
      </c>
      <c r="H109" s="7" t="n">
        <v>51.5</v>
      </c>
      <c r="I109" s="7" t="n">
        <v>0</v>
      </c>
      <c r="J109" s="7" t="n">
        <v>51.5</v>
      </c>
      <c r="K109" s="7" t="n">
        <v>6.22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7" t="n">
        <v>40</v>
      </c>
      <c r="E111" s="7" t="n">
        <v>0</v>
      </c>
      <c r="F111" s="7" t="n">
        <v>0</v>
      </c>
      <c r="G111" s="7" t="n">
        <v>0</v>
      </c>
      <c r="H111" s="7" t="n">
        <v>40</v>
      </c>
      <c r="I111" s="7" t="n">
        <v>0</v>
      </c>
      <c r="J111" s="7" t="n">
        <v>40</v>
      </c>
      <c r="K111" s="7" t="n">
        <v>4.83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7" t="n">
        <v>41.25</v>
      </c>
      <c r="E112" s="7" t="n">
        <v>11.25</v>
      </c>
      <c r="F112" s="7" t="n">
        <v>0</v>
      </c>
      <c r="G112" s="7" t="n">
        <v>0</v>
      </c>
      <c r="H112" s="7" t="n">
        <v>52.5</v>
      </c>
      <c r="I112" s="7" t="n">
        <v>0</v>
      </c>
      <c r="J112" s="7" t="n">
        <v>52.5</v>
      </c>
      <c r="K112" s="7" t="n">
        <v>6.34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7" t="n">
        <v>32.75</v>
      </c>
      <c r="E113" s="7" t="n">
        <v>0</v>
      </c>
      <c r="F113" s="7" t="n">
        <v>0</v>
      </c>
      <c r="G113" s="7" t="n">
        <v>0</v>
      </c>
      <c r="H113" s="7" t="n">
        <v>32.75</v>
      </c>
      <c r="I113" s="7" t="n">
        <v>0</v>
      </c>
      <c r="J113" s="7" t="n">
        <v>32.75</v>
      </c>
      <c r="K113" s="7" t="n">
        <v>3.95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7" t="n">
        <v>40</v>
      </c>
      <c r="E114" s="7" t="n">
        <v>0</v>
      </c>
      <c r="F114" s="7" t="n">
        <v>0</v>
      </c>
      <c r="G114" s="7" t="n">
        <v>0</v>
      </c>
      <c r="H114" s="7" t="n">
        <v>40</v>
      </c>
      <c r="I114" s="7" t="n">
        <v>0</v>
      </c>
      <c r="J114" s="7" t="n">
        <v>40</v>
      </c>
      <c r="K114" s="7" t="n">
        <v>4.83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7" t="n">
        <v>41.25</v>
      </c>
      <c r="E115" s="7" t="n">
        <v>9.5</v>
      </c>
      <c r="F115" s="7" t="n">
        <v>0</v>
      </c>
      <c r="G115" s="7" t="n">
        <v>0</v>
      </c>
      <c r="H115" s="7" t="n">
        <v>50.75</v>
      </c>
      <c r="I115" s="7" t="n">
        <v>0</v>
      </c>
      <c r="J115" s="7" t="n">
        <v>50.75</v>
      </c>
      <c r="K115" s="7" t="n">
        <v>6.13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7" t="n">
        <v>0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7" t="n">
        <v>39.5</v>
      </c>
      <c r="E118" s="7" t="n">
        <v>7.75</v>
      </c>
      <c r="F118" s="7" t="n">
        <v>0</v>
      </c>
      <c r="G118" s="7" t="n">
        <v>0</v>
      </c>
      <c r="H118" s="7" t="n">
        <v>47.25</v>
      </c>
      <c r="I118" s="7" t="n">
        <v>0</v>
      </c>
      <c r="J118" s="7" t="n">
        <v>47.25</v>
      </c>
      <c r="K118" s="7" t="n">
        <v>5.7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7" t="n">
        <v>33.75</v>
      </c>
      <c r="E120" s="7" t="n">
        <v>0</v>
      </c>
      <c r="F120" s="7" t="n">
        <v>0</v>
      </c>
      <c r="G120" s="7" t="n">
        <v>0</v>
      </c>
      <c r="H120" s="7" t="n">
        <v>33.75</v>
      </c>
      <c r="I120" s="7" t="n">
        <v>0</v>
      </c>
      <c r="J120" s="7" t="n">
        <v>33.75</v>
      </c>
      <c r="K120" s="7" t="n">
        <v>4.07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7" t="n">
        <v>5.75</v>
      </c>
      <c r="E121" s="7" t="n">
        <v>0</v>
      </c>
      <c r="F121" s="7" t="n">
        <v>0</v>
      </c>
      <c r="G121" s="7" t="n">
        <v>0</v>
      </c>
      <c r="H121" s="7" t="n">
        <v>5.75</v>
      </c>
      <c r="I121" s="7" t="n">
        <v>0</v>
      </c>
      <c r="J121" s="7" t="n">
        <v>5.75</v>
      </c>
      <c r="K121" s="7" t="n">
        <v>0.6899999999999999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7" t="n">
        <v>15.75</v>
      </c>
      <c r="E122" s="7" t="n">
        <v>0</v>
      </c>
      <c r="F122" s="7" t="n">
        <v>0</v>
      </c>
      <c r="G122" s="7" t="n">
        <v>0</v>
      </c>
      <c r="H122" s="7" t="n">
        <v>15.75</v>
      </c>
      <c r="I122" s="7" t="n">
        <v>0</v>
      </c>
      <c r="J122" s="7" t="n">
        <v>15.75</v>
      </c>
      <c r="K122" s="7" t="n">
        <v>1.9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7" t="n">
        <v>18</v>
      </c>
      <c r="E123" s="7" t="n">
        <v>0</v>
      </c>
      <c r="F123" s="7" t="n">
        <v>0</v>
      </c>
      <c r="G123" s="7" t="n">
        <v>0</v>
      </c>
      <c r="H123" s="7" t="n">
        <v>18</v>
      </c>
      <c r="I123" s="7" t="n">
        <v>0</v>
      </c>
      <c r="J123" s="7" t="n">
        <v>18</v>
      </c>
      <c r="K123" s="7" t="n">
        <v>2.17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7" t="n">
        <v>22.5</v>
      </c>
      <c r="E124" s="7" t="n">
        <v>0</v>
      </c>
      <c r="F124" s="7" t="n">
        <v>0</v>
      </c>
      <c r="G124" s="7" t="n">
        <v>0</v>
      </c>
      <c r="H124" s="7" t="n">
        <v>22.5</v>
      </c>
      <c r="I124" s="7" t="n">
        <v>0</v>
      </c>
      <c r="J124" s="7" t="n">
        <v>22.5</v>
      </c>
      <c r="K124" s="7" t="n">
        <v>2.72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7" t="n">
        <v>40.25</v>
      </c>
      <c r="E125" s="7" t="n">
        <v>0</v>
      </c>
      <c r="F125" s="7" t="n">
        <v>0</v>
      </c>
      <c r="G125" s="7" t="n">
        <v>0</v>
      </c>
      <c r="H125" s="7" t="n">
        <v>40.25</v>
      </c>
      <c r="I125" s="7" t="n">
        <v>0</v>
      </c>
      <c r="J125" s="7" t="n">
        <v>40.25</v>
      </c>
      <c r="K125" s="7" t="n">
        <v>4.86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7" t="n">
        <v>41</v>
      </c>
      <c r="E126" s="7" t="n">
        <v>0</v>
      </c>
      <c r="F126" s="7" t="n">
        <v>0</v>
      </c>
      <c r="G126" s="7" t="n">
        <v>0</v>
      </c>
      <c r="H126" s="7" t="n">
        <v>41</v>
      </c>
      <c r="I126" s="7" t="n">
        <v>0</v>
      </c>
      <c r="J126" s="7" t="n">
        <v>41</v>
      </c>
      <c r="K126" s="7" t="n">
        <v>4.95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7" t="n">
        <v>40.25</v>
      </c>
      <c r="E127" s="7" t="n">
        <v>0</v>
      </c>
      <c r="F127" s="7" t="n">
        <v>0</v>
      </c>
      <c r="G127" s="7" t="n">
        <v>0</v>
      </c>
      <c r="H127" s="7" t="n">
        <v>40.25</v>
      </c>
      <c r="I127" s="7" t="n">
        <v>0</v>
      </c>
      <c r="J127" s="7" t="n">
        <v>40.25</v>
      </c>
      <c r="K127" s="7" t="n">
        <v>4.86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7" t="n">
        <v>40.5</v>
      </c>
      <c r="E128" s="7" t="n">
        <v>7.5</v>
      </c>
      <c r="F128" s="7" t="n">
        <v>0</v>
      </c>
      <c r="G128" s="7" t="n">
        <v>0</v>
      </c>
      <c r="H128" s="7" t="n">
        <v>48</v>
      </c>
      <c r="I128" s="7" t="n">
        <v>0</v>
      </c>
      <c r="J128" s="7" t="n">
        <v>48</v>
      </c>
      <c r="K128" s="7" t="n">
        <v>5.79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7" t="n">
        <v>0</v>
      </c>
      <c r="E129" s="7" t="n">
        <v>8.5</v>
      </c>
      <c r="F129" s="7" t="n">
        <v>9.5</v>
      </c>
      <c r="G129" s="7" t="n">
        <v>0</v>
      </c>
      <c r="H129" s="7" t="n">
        <v>18</v>
      </c>
      <c r="I129" s="7" t="n">
        <v>16</v>
      </c>
      <c r="J129" s="7" t="n">
        <v>2</v>
      </c>
      <c r="K129" s="7" t="n">
        <v>0.24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7" t="n">
        <v>41.25</v>
      </c>
      <c r="E130" s="7" t="n">
        <v>0</v>
      </c>
      <c r="F130" s="7" t="n">
        <v>5.25</v>
      </c>
      <c r="G130" s="7" t="n">
        <v>0</v>
      </c>
      <c r="H130" s="7" t="n">
        <v>46.5</v>
      </c>
      <c r="I130" s="7" t="n">
        <v>0</v>
      </c>
      <c r="J130" s="7" t="n">
        <v>46.5</v>
      </c>
      <c r="K130" s="7" t="n">
        <v>5.61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7" t="n">
        <v>41.25</v>
      </c>
      <c r="E131" s="7" t="n">
        <v>23.25</v>
      </c>
      <c r="F131" s="7" t="n">
        <v>0</v>
      </c>
      <c r="G131" s="7" t="n">
        <v>0</v>
      </c>
      <c r="H131" s="7" t="n">
        <v>64.5</v>
      </c>
      <c r="I131" s="7" t="n">
        <v>0</v>
      </c>
      <c r="J131" s="7" t="n">
        <v>64.5</v>
      </c>
      <c r="K131" s="7" t="n">
        <v>7.79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7" t="n">
        <v>20</v>
      </c>
      <c r="E132" s="7" t="n">
        <v>0</v>
      </c>
      <c r="F132" s="7" t="n">
        <v>0</v>
      </c>
      <c r="G132" s="7" t="n">
        <v>0</v>
      </c>
      <c r="H132" s="7" t="n">
        <v>20</v>
      </c>
      <c r="I132" s="7" t="n">
        <v>0</v>
      </c>
      <c r="J132" s="7" t="n">
        <v>20</v>
      </c>
      <c r="K132" s="7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7" t="n">
        <v>25.25</v>
      </c>
      <c r="E133" s="7" t="n">
        <v>5.75</v>
      </c>
      <c r="F133" s="7" t="n">
        <v>0</v>
      </c>
      <c r="G133" s="7" t="n">
        <v>16</v>
      </c>
      <c r="H133" s="7" t="n">
        <v>47</v>
      </c>
      <c r="I133" s="7" t="n">
        <v>0</v>
      </c>
      <c r="J133" s="7" t="n">
        <v>47</v>
      </c>
      <c r="K133" s="7" t="n">
        <v>5.67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7" t="n">
        <v>0</v>
      </c>
      <c r="E134" s="7" t="n">
        <v>9.25</v>
      </c>
      <c r="F134" s="7" t="n">
        <v>0</v>
      </c>
      <c r="G134" s="7" t="n">
        <v>0</v>
      </c>
      <c r="H134" s="7" t="n">
        <v>9.25</v>
      </c>
      <c r="I134" s="7" t="n">
        <v>0</v>
      </c>
      <c r="J134" s="7" t="n">
        <v>9.25</v>
      </c>
      <c r="K134" s="7" t="n">
        <v>1.12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7" t="n">
        <v>41.25</v>
      </c>
      <c r="E135" s="7" t="n">
        <v>5</v>
      </c>
      <c r="F135" s="7" t="n">
        <v>0</v>
      </c>
      <c r="G135" s="7" t="n">
        <v>0</v>
      </c>
      <c r="H135" s="7" t="n">
        <v>46.25</v>
      </c>
      <c r="I135" s="7" t="n">
        <v>0</v>
      </c>
      <c r="J135" s="7" t="n">
        <v>46.25</v>
      </c>
      <c r="K135" s="7" t="n">
        <v>5.58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7" t="n">
        <v>41.25</v>
      </c>
      <c r="E136" s="7" t="n">
        <v>0.5</v>
      </c>
      <c r="F136" s="7" t="n">
        <v>0</v>
      </c>
      <c r="G136" s="7" t="n">
        <v>0</v>
      </c>
      <c r="H136" s="7" t="n">
        <v>41.75</v>
      </c>
      <c r="I136" s="7" t="n">
        <v>0</v>
      </c>
      <c r="J136" s="7" t="n">
        <v>41.75</v>
      </c>
      <c r="K136" s="7" t="n">
        <v>5.04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7" t="n">
        <v>41.25</v>
      </c>
      <c r="E137" s="7" t="n">
        <v>8.25</v>
      </c>
      <c r="F137" s="7" t="n">
        <v>0</v>
      </c>
      <c r="G137" s="7" t="n">
        <v>0</v>
      </c>
      <c r="H137" s="7" t="n">
        <v>49.5</v>
      </c>
      <c r="I137" s="7" t="n">
        <v>40</v>
      </c>
      <c r="J137" s="7" t="n">
        <v>9.5</v>
      </c>
      <c r="K137" s="7" t="n">
        <v>1.15</v>
      </c>
    </row>
    <row r="138">
      <c r="A138" s="6" t="inlineStr">
        <is>
          <t>LOURENCO PEREIRA</t>
        </is>
      </c>
      <c r="B138" s="6" t="inlineStr">
        <is>
          <t>OFCE</t>
        </is>
      </c>
      <c r="C138" s="7" t="n">
        <v>737</v>
      </c>
      <c r="D138" s="7" t="n">
        <v>25</v>
      </c>
      <c r="E138" s="7" t="n">
        <v>0</v>
      </c>
      <c r="F138" s="7" t="n">
        <v>0</v>
      </c>
      <c r="G138" s="7" t="n">
        <v>0</v>
      </c>
      <c r="H138" s="7" t="n">
        <v>25</v>
      </c>
      <c r="I138" s="7" t="n">
        <v>0</v>
      </c>
      <c r="J138" s="7" t="n">
        <v>25</v>
      </c>
      <c r="K138" s="7" t="n">
        <v>3.02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7" t="n">
        <v>41.25</v>
      </c>
      <c r="E139" s="7" t="n">
        <v>3.5</v>
      </c>
      <c r="F139" s="7" t="n">
        <v>0</v>
      </c>
      <c r="G139" s="7" t="n">
        <v>0</v>
      </c>
      <c r="H139" s="7" t="n">
        <v>44.75</v>
      </c>
      <c r="I139" s="7" t="n">
        <v>0</v>
      </c>
      <c r="J139" s="7" t="n">
        <v>44.75</v>
      </c>
      <c r="K139" s="7" t="n">
        <v>5.4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7" t="n">
        <v>37</v>
      </c>
      <c r="E140" s="7" t="n">
        <v>0</v>
      </c>
      <c r="F140" s="7" t="n">
        <v>0</v>
      </c>
      <c r="G140" s="7" t="n">
        <v>0</v>
      </c>
      <c r="H140" s="7" t="n">
        <v>37</v>
      </c>
      <c r="I140" s="7" t="n">
        <v>0</v>
      </c>
      <c r="J140" s="7" t="n">
        <v>37</v>
      </c>
      <c r="K140" s="7" t="n">
        <v>4.47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7" t="n">
        <v>40.5</v>
      </c>
      <c r="E141" s="7" t="n">
        <v>0</v>
      </c>
      <c r="F141" s="7" t="n">
        <v>0</v>
      </c>
      <c r="G141" s="7" t="n">
        <v>0</v>
      </c>
      <c r="H141" s="7" t="n">
        <v>40.5</v>
      </c>
      <c r="I141" s="7" t="n">
        <v>0</v>
      </c>
      <c r="J141" s="7" t="n">
        <v>40.5</v>
      </c>
      <c r="K141" s="7" t="n">
        <v>4.89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7" t="n">
        <v>33.25</v>
      </c>
      <c r="E142" s="7" t="n">
        <v>1.5</v>
      </c>
      <c r="F142" s="7" t="n">
        <v>0</v>
      </c>
      <c r="G142" s="7" t="n">
        <v>8</v>
      </c>
      <c r="H142" s="7" t="n">
        <v>42.75</v>
      </c>
      <c r="I142" s="7" t="n">
        <v>0</v>
      </c>
      <c r="J142" s="7" t="n">
        <v>42.75</v>
      </c>
      <c r="K142" s="7" t="n">
        <v>5.16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7" t="n">
        <v>41.25</v>
      </c>
      <c r="E143" s="7" t="n">
        <v>2.25</v>
      </c>
      <c r="F143" s="7" t="n">
        <v>0</v>
      </c>
      <c r="G143" s="7" t="n">
        <v>0</v>
      </c>
      <c r="H143" s="7" t="n">
        <v>43.5</v>
      </c>
      <c r="I143" s="7" t="n">
        <v>0</v>
      </c>
      <c r="J143" s="7" t="n">
        <v>43.5</v>
      </c>
      <c r="K143" s="7" t="n">
        <v>5.25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7" t="n">
        <v>41.25</v>
      </c>
      <c r="E144" s="7" t="n">
        <v>3</v>
      </c>
      <c r="F144" s="7" t="n">
        <v>0</v>
      </c>
      <c r="G144" s="7" t="n">
        <v>0</v>
      </c>
      <c r="H144" s="7" t="n">
        <v>44.25</v>
      </c>
      <c r="I144" s="7" t="n">
        <v>0</v>
      </c>
      <c r="J144" s="7" t="n">
        <v>44.25</v>
      </c>
      <c r="K144" s="7" t="n">
        <v>5.34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7" t="n">
        <v>41.25</v>
      </c>
      <c r="E145" s="7" t="n">
        <v>9</v>
      </c>
      <c r="F145" s="7" t="n">
        <v>0</v>
      </c>
      <c r="G145" s="7" t="n">
        <v>0</v>
      </c>
      <c r="H145" s="7" t="n">
        <v>50.25</v>
      </c>
      <c r="I145" s="7" t="n">
        <v>0</v>
      </c>
      <c r="J145" s="7" t="n">
        <v>50.25</v>
      </c>
      <c r="K145" s="7" t="n">
        <v>6.07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7" t="n">
        <v>38.5</v>
      </c>
      <c r="E146" s="7" t="n">
        <v>0</v>
      </c>
      <c r="F146" s="7" t="n">
        <v>0</v>
      </c>
      <c r="G146" s="7" t="n">
        <v>0</v>
      </c>
      <c r="H146" s="7" t="n">
        <v>38.5</v>
      </c>
      <c r="I146" s="7" t="n">
        <v>0</v>
      </c>
      <c r="J146" s="7" t="n">
        <v>38.5</v>
      </c>
      <c r="K146" s="7" t="n">
        <v>4.65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7" t="n">
        <v>41.25</v>
      </c>
      <c r="E147" s="7" t="n">
        <v>5.25</v>
      </c>
      <c r="F147" s="7" t="n">
        <v>0</v>
      </c>
      <c r="G147" s="7" t="n">
        <v>0</v>
      </c>
      <c r="H147" s="7" t="n">
        <v>46.5</v>
      </c>
      <c r="I147" s="7" t="n">
        <v>0</v>
      </c>
      <c r="J147" s="7" t="n">
        <v>46.5</v>
      </c>
      <c r="K147" s="7" t="n">
        <v>5.61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7" t="n">
        <v>40.25</v>
      </c>
      <c r="E148" s="7" t="n">
        <v>0</v>
      </c>
      <c r="F148" s="7" t="n">
        <v>0</v>
      </c>
      <c r="G148" s="7" t="n">
        <v>0</v>
      </c>
      <c r="H148" s="7" t="n">
        <v>40.25</v>
      </c>
      <c r="I148" s="7" t="n">
        <v>0</v>
      </c>
      <c r="J148" s="7" t="n">
        <v>40.25</v>
      </c>
      <c r="K148" s="7" t="n">
        <v>4.86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7" t="n">
        <v>41</v>
      </c>
      <c r="E149" s="7" t="n">
        <v>0</v>
      </c>
      <c r="F149" s="7" t="n">
        <v>0</v>
      </c>
      <c r="G149" s="7" t="n">
        <v>0</v>
      </c>
      <c r="H149" s="7" t="n">
        <v>41</v>
      </c>
      <c r="I149" s="7" t="n">
        <v>0</v>
      </c>
      <c r="J149" s="7" t="n">
        <v>41</v>
      </c>
      <c r="K149" s="7" t="n">
        <v>4.95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7" t="n">
        <v>41.25</v>
      </c>
      <c r="E150" s="7" t="n">
        <v>0.25</v>
      </c>
      <c r="F150" s="7" t="n">
        <v>0</v>
      </c>
      <c r="G150" s="7" t="n">
        <v>0</v>
      </c>
      <c r="H150" s="7" t="n">
        <v>41.5</v>
      </c>
      <c r="I150" s="7" t="n">
        <v>0</v>
      </c>
      <c r="J150" s="7" t="n">
        <v>41.5</v>
      </c>
      <c r="K150" s="7" t="n">
        <v>5.01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7" t="n">
        <v>41.25</v>
      </c>
      <c r="E151" s="7" t="n">
        <v>1</v>
      </c>
      <c r="F151" s="7" t="n">
        <v>0</v>
      </c>
      <c r="G151" s="7" t="n">
        <v>0</v>
      </c>
      <c r="H151" s="7" t="n">
        <v>42.25</v>
      </c>
      <c r="I151" s="7" t="n">
        <v>0</v>
      </c>
      <c r="J151" s="7" t="n">
        <v>42.25</v>
      </c>
      <c r="K151" s="7" t="n">
        <v>5.1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7" t="n">
        <v>0</v>
      </c>
      <c r="E152" s="7" t="n">
        <v>0</v>
      </c>
      <c r="F152" s="7" t="n">
        <v>0</v>
      </c>
      <c r="G152" s="7" t="n">
        <v>16</v>
      </c>
      <c r="H152" s="7" t="n">
        <v>16</v>
      </c>
      <c r="I152" s="7" t="n">
        <v>0</v>
      </c>
      <c r="J152" s="7" t="n">
        <v>16</v>
      </c>
      <c r="K152" s="7" t="n">
        <v>1.93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7" t="n">
        <v>41</v>
      </c>
      <c r="E153" s="7" t="n">
        <v>0</v>
      </c>
      <c r="F153" s="7" t="n">
        <v>0</v>
      </c>
      <c r="G153" s="7" t="n">
        <v>0</v>
      </c>
      <c r="H153" s="7" t="n">
        <v>41</v>
      </c>
      <c r="I153" s="7" t="n">
        <v>0</v>
      </c>
      <c r="J153" s="7" t="n">
        <v>41</v>
      </c>
      <c r="K153" s="7" t="n">
        <v>4.95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7" t="n">
        <v>36.75</v>
      </c>
      <c r="E154" s="7" t="n">
        <v>0</v>
      </c>
      <c r="F154" s="7" t="n">
        <v>0</v>
      </c>
      <c r="G154" s="7" t="n">
        <v>0</v>
      </c>
      <c r="H154" s="7" t="n">
        <v>36.75</v>
      </c>
      <c r="I154" s="7" t="n">
        <v>0</v>
      </c>
      <c r="J154" s="7" t="n">
        <v>36.75</v>
      </c>
      <c r="K154" s="7" t="n">
        <v>4.44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7" t="n">
        <v>37.25</v>
      </c>
      <c r="E155" s="7" t="n">
        <v>0</v>
      </c>
      <c r="F155" s="7" t="n">
        <v>0</v>
      </c>
      <c r="G155" s="7" t="n">
        <v>0</v>
      </c>
      <c r="H155" s="7" t="n">
        <v>37.25</v>
      </c>
      <c r="I155" s="7" t="n">
        <v>0</v>
      </c>
      <c r="J155" s="7" t="n">
        <v>37.25</v>
      </c>
      <c r="K155" s="7" t="n">
        <v>4.5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7" t="n">
        <v>33.25</v>
      </c>
      <c r="E156" s="7" t="n">
        <v>1.75</v>
      </c>
      <c r="F156" s="7" t="n">
        <v>0</v>
      </c>
      <c r="G156" s="7" t="n">
        <v>8</v>
      </c>
      <c r="H156" s="7" t="n">
        <v>43</v>
      </c>
      <c r="I156" s="7" t="n">
        <v>0</v>
      </c>
      <c r="J156" s="7" t="n">
        <v>43</v>
      </c>
      <c r="K156" s="7" t="n">
        <v>5.19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7" t="n">
        <v>39</v>
      </c>
      <c r="E157" s="7" t="n">
        <v>0</v>
      </c>
      <c r="F157" s="7" t="n">
        <v>0</v>
      </c>
      <c r="G157" s="7" t="n">
        <v>0</v>
      </c>
      <c r="H157" s="7" t="n">
        <v>39</v>
      </c>
      <c r="I157" s="7" t="n">
        <v>0</v>
      </c>
      <c r="J157" s="7" t="n">
        <v>39</v>
      </c>
      <c r="K157" s="7" t="n">
        <v>4.71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7" t="n">
        <v>15.25</v>
      </c>
      <c r="E158" s="7" t="n">
        <v>0</v>
      </c>
      <c r="F158" s="7" t="n">
        <v>0</v>
      </c>
      <c r="G158" s="7" t="n">
        <v>24</v>
      </c>
      <c r="H158" s="7" t="n">
        <v>39.25</v>
      </c>
      <c r="I158" s="7" t="n">
        <v>0</v>
      </c>
      <c r="J158" s="7" t="n">
        <v>39.25</v>
      </c>
      <c r="K158" s="7" t="n">
        <v>4.74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7" t="n">
        <v>37.25</v>
      </c>
      <c r="E159" s="7" t="n">
        <v>0</v>
      </c>
      <c r="F159" s="7" t="n">
        <v>0</v>
      </c>
      <c r="G159" s="7" t="n">
        <v>0</v>
      </c>
      <c r="H159" s="7" t="n">
        <v>37.25</v>
      </c>
      <c r="I159" s="7" t="n">
        <v>0</v>
      </c>
      <c r="J159" s="7" t="n">
        <v>37.25</v>
      </c>
      <c r="K159" s="7" t="n">
        <v>4.5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7" t="n">
        <v>37</v>
      </c>
      <c r="E160" s="7" t="n">
        <v>0</v>
      </c>
      <c r="F160" s="7" t="n">
        <v>0</v>
      </c>
      <c r="G160" s="7" t="n">
        <v>0</v>
      </c>
      <c r="H160" s="7" t="n">
        <v>37</v>
      </c>
      <c r="I160" s="7" t="n">
        <v>0</v>
      </c>
      <c r="J160" s="7" t="n">
        <v>37</v>
      </c>
      <c r="K160" s="7" t="n">
        <v>4.47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7" t="n">
        <v>37.25</v>
      </c>
      <c r="E161" s="7" t="n">
        <v>0</v>
      </c>
      <c r="F161" s="7" t="n">
        <v>0</v>
      </c>
      <c r="G161" s="7" t="n">
        <v>0</v>
      </c>
      <c r="H161" s="7" t="n">
        <v>37.25</v>
      </c>
      <c r="I161" s="7" t="n">
        <v>0</v>
      </c>
      <c r="J161" s="7" t="n">
        <v>37.25</v>
      </c>
      <c r="K161" s="7" t="n">
        <v>4.5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7" t="n">
        <v>28</v>
      </c>
      <c r="E162" s="7" t="n">
        <v>6.5</v>
      </c>
      <c r="F162" s="7" t="n">
        <v>0</v>
      </c>
      <c r="G162" s="7" t="n">
        <v>0</v>
      </c>
      <c r="H162" s="7" t="n">
        <v>34.5</v>
      </c>
      <c r="I162" s="7" t="n">
        <v>0</v>
      </c>
      <c r="J162" s="7" t="n">
        <v>34.5</v>
      </c>
      <c r="K162" s="7" t="n">
        <v>4.16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7" t="n">
        <v>37.5</v>
      </c>
      <c r="E163" s="7" t="n">
        <v>0</v>
      </c>
      <c r="F163" s="7" t="n">
        <v>0</v>
      </c>
      <c r="G163" s="7" t="n">
        <v>0</v>
      </c>
      <c r="H163" s="7" t="n">
        <v>37.5</v>
      </c>
      <c r="I163" s="7" t="n">
        <v>0</v>
      </c>
      <c r="J163" s="7" t="n">
        <v>37.5</v>
      </c>
      <c r="K163" s="7" t="n">
        <v>4.53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7" t="n">
        <v>32.25</v>
      </c>
      <c r="E164" s="7" t="n">
        <v>7.5</v>
      </c>
      <c r="F164" s="7" t="n">
        <v>0</v>
      </c>
      <c r="G164" s="7" t="n">
        <v>0</v>
      </c>
      <c r="H164" s="7" t="n">
        <v>39.75</v>
      </c>
      <c r="I164" s="7" t="n">
        <v>0</v>
      </c>
      <c r="J164" s="7" t="n">
        <v>39.75</v>
      </c>
      <c r="K164" s="7" t="n">
        <v>4.8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7" t="n">
        <v>36.75</v>
      </c>
      <c r="E165" s="7" t="n">
        <v>6.75</v>
      </c>
      <c r="F165" s="7" t="n">
        <v>0</v>
      </c>
      <c r="G165" s="7" t="n">
        <v>0</v>
      </c>
      <c r="H165" s="7" t="n">
        <v>43.5</v>
      </c>
      <c r="I165" s="7" t="n">
        <v>0</v>
      </c>
      <c r="J165" s="7" t="n">
        <v>43.5</v>
      </c>
      <c r="K165" s="7" t="n">
        <v>5.25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7" t="n">
        <v>37.25</v>
      </c>
      <c r="E166" s="7" t="n">
        <v>7.5</v>
      </c>
      <c r="F166" s="7" t="n">
        <v>0</v>
      </c>
      <c r="G166" s="7" t="n">
        <v>0</v>
      </c>
      <c r="H166" s="7" t="n">
        <v>44.75</v>
      </c>
      <c r="I166" s="7" t="n">
        <v>0</v>
      </c>
      <c r="J166" s="7" t="n">
        <v>44.75</v>
      </c>
      <c r="K166" s="7" t="n">
        <v>5.4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</row>
    <row r="168">
      <c r="A168" s="6" t="inlineStr">
        <is>
          <t>VIDYA PATEL</t>
        </is>
      </c>
      <c r="B168" s="6" t="inlineStr">
        <is>
          <t>PROD BELT</t>
        </is>
      </c>
      <c r="C168" s="7" t="n">
        <v>124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7" t="n">
        <v>26.5</v>
      </c>
      <c r="E169" s="7" t="n">
        <v>0</v>
      </c>
      <c r="F169" s="7" t="n">
        <v>0</v>
      </c>
      <c r="G169" s="7" t="n">
        <v>0</v>
      </c>
      <c r="H169" s="7" t="n">
        <v>26.5</v>
      </c>
      <c r="I169" s="7" t="n">
        <v>0</v>
      </c>
      <c r="J169" s="7" t="n">
        <v>26.5</v>
      </c>
      <c r="K169" s="7" t="n">
        <v>3.2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7" t="n">
        <v>35.5</v>
      </c>
      <c r="E170" s="7" t="n">
        <v>0</v>
      </c>
      <c r="F170" s="7" t="n">
        <v>0</v>
      </c>
      <c r="G170" s="7" t="n">
        <v>0</v>
      </c>
      <c r="H170" s="7" t="n">
        <v>35.5</v>
      </c>
      <c r="I170" s="7" t="n">
        <v>0</v>
      </c>
      <c r="J170" s="7" t="n">
        <v>35.5</v>
      </c>
      <c r="K170" s="7" t="n">
        <v>4.28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7" t="n">
        <v>37.75</v>
      </c>
      <c r="E171" s="7" t="n">
        <v>0</v>
      </c>
      <c r="F171" s="7" t="n">
        <v>0</v>
      </c>
      <c r="G171" s="7" t="n">
        <v>0</v>
      </c>
      <c r="H171" s="7" t="n">
        <v>37.75</v>
      </c>
      <c r="I171" s="7" t="n">
        <v>0</v>
      </c>
      <c r="J171" s="7" t="n">
        <v>37.75</v>
      </c>
      <c r="K171" s="7" t="n">
        <v>4.56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7" t="n">
        <v>37</v>
      </c>
      <c r="E172" s="7" t="n">
        <v>0</v>
      </c>
      <c r="F172" s="7" t="n">
        <v>0</v>
      </c>
      <c r="G172" s="7" t="n">
        <v>0</v>
      </c>
      <c r="H172" s="7" t="n">
        <v>37</v>
      </c>
      <c r="I172" s="7" t="n">
        <v>0</v>
      </c>
      <c r="J172" s="7" t="n">
        <v>37</v>
      </c>
      <c r="K172" s="7" t="n">
        <v>4.47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7" t="n">
        <v>22.75</v>
      </c>
      <c r="E173" s="7" t="n">
        <v>0</v>
      </c>
      <c r="F173" s="7" t="n">
        <v>0</v>
      </c>
      <c r="G173" s="7" t="n">
        <v>0</v>
      </c>
      <c r="H173" s="7" t="n">
        <v>22.75</v>
      </c>
      <c r="I173" s="7" t="n">
        <v>0</v>
      </c>
      <c r="J173" s="7" t="n">
        <v>22.75</v>
      </c>
      <c r="K173" s="7" t="n">
        <v>2.75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7" t="n">
        <v>37.25</v>
      </c>
      <c r="E174" s="7" t="n">
        <v>0</v>
      </c>
      <c r="F174" s="7" t="n">
        <v>0</v>
      </c>
      <c r="G174" s="7" t="n">
        <v>0</v>
      </c>
      <c r="H174" s="7" t="n">
        <v>37.25</v>
      </c>
      <c r="I174" s="7" t="n">
        <v>0</v>
      </c>
      <c r="J174" s="7" t="n">
        <v>37.25</v>
      </c>
      <c r="K174" s="7" t="n">
        <v>4.5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7" t="n">
        <v>25.5</v>
      </c>
      <c r="E175" s="7" t="n">
        <v>0</v>
      </c>
      <c r="F175" s="7" t="n">
        <v>0</v>
      </c>
      <c r="G175" s="7" t="n">
        <v>0</v>
      </c>
      <c r="H175" s="7" t="n">
        <v>25.5</v>
      </c>
      <c r="I175" s="7" t="n">
        <v>0</v>
      </c>
      <c r="J175" s="7" t="n">
        <v>25.5</v>
      </c>
      <c r="K175" s="7" t="n">
        <v>3.08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7" t="n">
        <v>29.75</v>
      </c>
      <c r="E176" s="7" t="n">
        <v>0</v>
      </c>
      <c r="F176" s="7" t="n">
        <v>0</v>
      </c>
      <c r="G176" s="7" t="n">
        <v>0</v>
      </c>
      <c r="H176" s="7" t="n">
        <v>29.75</v>
      </c>
      <c r="I176" s="7" t="n">
        <v>0</v>
      </c>
      <c r="J176" s="7" t="n">
        <v>29.75</v>
      </c>
      <c r="K176" s="7" t="n">
        <v>3.59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7" t="n">
        <v>23</v>
      </c>
      <c r="E177" s="7" t="n">
        <v>0</v>
      </c>
      <c r="F177" s="7" t="n">
        <v>0</v>
      </c>
      <c r="G177" s="7" t="n">
        <v>8</v>
      </c>
      <c r="H177" s="7" t="n">
        <v>31</v>
      </c>
      <c r="I177" s="7" t="n">
        <v>0</v>
      </c>
      <c r="J177" s="7" t="n">
        <v>31</v>
      </c>
      <c r="K177" s="7" t="n">
        <v>3.74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7" t="n">
        <v>18</v>
      </c>
      <c r="E178" s="7" t="n">
        <v>0</v>
      </c>
      <c r="F178" s="7" t="n">
        <v>0</v>
      </c>
      <c r="G178" s="7" t="n">
        <v>0</v>
      </c>
      <c r="H178" s="7" t="n">
        <v>18</v>
      </c>
      <c r="I178" s="7" t="n">
        <v>0</v>
      </c>
      <c r="J178" s="7" t="n">
        <v>18</v>
      </c>
      <c r="K178" s="7" t="n">
        <v>2.17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7" t="n">
        <v>35.75</v>
      </c>
      <c r="E180" s="7" t="n">
        <v>0</v>
      </c>
      <c r="F180" s="7" t="n">
        <v>0</v>
      </c>
      <c r="G180" s="7" t="n">
        <v>0</v>
      </c>
      <c r="H180" s="7" t="n">
        <v>35.75</v>
      </c>
      <c r="I180" s="7" t="n">
        <v>0</v>
      </c>
      <c r="J180" s="7" t="n">
        <v>35.75</v>
      </c>
      <c r="K180" s="7" t="n">
        <v>4.32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7" t="n">
        <v>37</v>
      </c>
      <c r="E181" s="7" t="n">
        <v>0</v>
      </c>
      <c r="F181" s="7" t="n">
        <v>0</v>
      </c>
      <c r="G181" s="7" t="n">
        <v>0</v>
      </c>
      <c r="H181" s="7" t="n">
        <v>37</v>
      </c>
      <c r="I181" s="7" t="n">
        <v>40</v>
      </c>
      <c r="J181" s="7" t="n">
        <v>0</v>
      </c>
      <c r="K181" s="7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7" t="n">
        <v>35.5</v>
      </c>
      <c r="E182" s="7" t="n">
        <v>0</v>
      </c>
      <c r="F182" s="7" t="n">
        <v>0</v>
      </c>
      <c r="G182" s="7" t="n">
        <v>0</v>
      </c>
      <c r="H182" s="7" t="n">
        <v>35.5</v>
      </c>
      <c r="I182" s="7" t="n">
        <v>0</v>
      </c>
      <c r="J182" s="7" t="n">
        <v>35.5</v>
      </c>
      <c r="K182" s="7" t="n">
        <v>4.28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7" t="n">
        <v>41.25</v>
      </c>
      <c r="E183" s="7" t="n">
        <v>2.75</v>
      </c>
      <c r="F183" s="7" t="n">
        <v>0</v>
      </c>
      <c r="G183" s="7" t="n">
        <v>0</v>
      </c>
      <c r="H183" s="7" t="n">
        <v>44</v>
      </c>
      <c r="I183" s="7" t="n">
        <v>0</v>
      </c>
      <c r="J183" s="7" t="n">
        <v>44</v>
      </c>
      <c r="K183" s="7" t="n">
        <v>5.31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7" t="n">
        <v>37.5</v>
      </c>
      <c r="E184" s="7" t="n">
        <v>0</v>
      </c>
      <c r="F184" s="7" t="n">
        <v>0</v>
      </c>
      <c r="G184" s="7" t="n">
        <v>0</v>
      </c>
      <c r="H184" s="7" t="n">
        <v>37.5</v>
      </c>
      <c r="I184" s="7" t="n">
        <v>0</v>
      </c>
      <c r="J184" s="7" t="n">
        <v>37.5</v>
      </c>
      <c r="K184" s="7" t="n">
        <v>4.53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7" t="n">
        <v>41.25</v>
      </c>
      <c r="E185" s="7" t="n">
        <v>5.25</v>
      </c>
      <c r="F185" s="7" t="n">
        <v>0</v>
      </c>
      <c r="G185" s="7" t="n">
        <v>0</v>
      </c>
      <c r="H185" s="7" t="n">
        <v>46.5</v>
      </c>
      <c r="I185" s="7" t="n">
        <v>0</v>
      </c>
      <c r="J185" s="7" t="n">
        <v>46.5</v>
      </c>
      <c r="K185" s="7" t="n">
        <v>5.61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7" t="n">
        <v>35.5</v>
      </c>
      <c r="E186" s="7" t="n">
        <v>0</v>
      </c>
      <c r="F186" s="7" t="n">
        <v>0</v>
      </c>
      <c r="G186" s="7" t="n">
        <v>0</v>
      </c>
      <c r="H186" s="7" t="n">
        <v>35.5</v>
      </c>
      <c r="I186" s="7" t="n">
        <v>0</v>
      </c>
      <c r="J186" s="7" t="n">
        <v>35.5</v>
      </c>
      <c r="K186" s="7" t="n">
        <v>4.28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7" t="n">
        <v>35.75</v>
      </c>
      <c r="E187" s="7" t="n">
        <v>0</v>
      </c>
      <c r="F187" s="7" t="n">
        <v>0</v>
      </c>
      <c r="G187" s="7" t="n">
        <v>0</v>
      </c>
      <c r="H187" s="7" t="n">
        <v>35.75</v>
      </c>
      <c r="I187" s="7" t="n">
        <v>0</v>
      </c>
      <c r="J187" s="7" t="n">
        <v>35.75</v>
      </c>
      <c r="K187" s="7" t="n">
        <v>4.32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7" t="n">
        <v>41.25</v>
      </c>
      <c r="E188" s="7" t="n">
        <v>11.25</v>
      </c>
      <c r="F188" s="7" t="n">
        <v>3.5</v>
      </c>
      <c r="G188" s="7" t="n">
        <v>0</v>
      </c>
      <c r="H188" s="7" t="n">
        <v>56</v>
      </c>
      <c r="I188" s="7" t="n">
        <v>0</v>
      </c>
      <c r="J188" s="7" t="n">
        <v>56</v>
      </c>
      <c r="K188" s="7" t="n">
        <v>6.76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7" t="n">
        <v>35.75</v>
      </c>
      <c r="E189" s="7" t="n">
        <v>0</v>
      </c>
      <c r="F189" s="7" t="n">
        <v>0</v>
      </c>
      <c r="G189" s="7" t="n">
        <v>0</v>
      </c>
      <c r="H189" s="7" t="n">
        <v>35.75</v>
      </c>
      <c r="I189" s="7" t="n">
        <v>0</v>
      </c>
      <c r="J189" s="7" t="n">
        <v>35.75</v>
      </c>
      <c r="K189" s="7" t="n">
        <v>4.32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7" t="n">
        <v>34.75</v>
      </c>
      <c r="E190" s="7" t="n">
        <v>8</v>
      </c>
      <c r="F190" s="7" t="n">
        <v>0</v>
      </c>
      <c r="G190" s="7" t="n">
        <v>0</v>
      </c>
      <c r="H190" s="7" t="n">
        <v>42.75</v>
      </c>
      <c r="I190" s="7" t="n">
        <v>0</v>
      </c>
      <c r="J190" s="7" t="n">
        <v>42.75</v>
      </c>
      <c r="K190" s="7" t="n">
        <v>5.16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7" t="n">
        <v>36</v>
      </c>
      <c r="E191" s="7" t="n">
        <v>0</v>
      </c>
      <c r="F191" s="7" t="n">
        <v>0</v>
      </c>
      <c r="G191" s="7" t="n">
        <v>0</v>
      </c>
      <c r="H191" s="7" t="n">
        <v>36</v>
      </c>
      <c r="I191" s="7" t="n">
        <v>0</v>
      </c>
      <c r="J191" s="7" t="n">
        <v>36</v>
      </c>
      <c r="K191" s="7" t="n">
        <v>4.35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7" t="n">
        <v>36.25</v>
      </c>
      <c r="E192" s="7" t="n">
        <v>0</v>
      </c>
      <c r="F192" s="7" t="n">
        <v>0</v>
      </c>
      <c r="G192" s="7" t="n">
        <v>0</v>
      </c>
      <c r="H192" s="7" t="n">
        <v>36.25</v>
      </c>
      <c r="I192" s="7" t="n">
        <v>0</v>
      </c>
      <c r="J192" s="7" t="n">
        <v>36.25</v>
      </c>
      <c r="K192" s="7" t="n">
        <v>4.38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7" t="n">
        <v>38.5</v>
      </c>
      <c r="E194" s="7" t="n">
        <v>0</v>
      </c>
      <c r="F194" s="7" t="n">
        <v>0</v>
      </c>
      <c r="G194" s="7" t="n">
        <v>0</v>
      </c>
      <c r="H194" s="7" t="n">
        <v>38.5</v>
      </c>
      <c r="I194" s="7" t="n">
        <v>0</v>
      </c>
      <c r="J194" s="7" t="n">
        <v>38.5</v>
      </c>
      <c r="K194" s="7" t="n">
        <v>4.65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7" t="n">
        <v>37.75</v>
      </c>
      <c r="E195" s="7" t="n">
        <v>0</v>
      </c>
      <c r="F195" s="7" t="n">
        <v>0</v>
      </c>
      <c r="G195" s="7" t="n">
        <v>0</v>
      </c>
      <c r="H195" s="7" t="n">
        <v>37.75</v>
      </c>
      <c r="I195" s="7" t="n">
        <v>0</v>
      </c>
      <c r="J195" s="7" t="n">
        <v>37.75</v>
      </c>
      <c r="K195" s="7" t="n">
        <v>4.56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7" t="n">
        <v>41.25</v>
      </c>
      <c r="E196" s="7" t="n">
        <v>0</v>
      </c>
      <c r="F196" s="7" t="n">
        <v>3.25</v>
      </c>
      <c r="G196" s="7" t="n">
        <v>0</v>
      </c>
      <c r="H196" s="7" t="n">
        <v>44.5</v>
      </c>
      <c r="I196" s="7" t="n">
        <v>0</v>
      </c>
      <c r="J196" s="7" t="n">
        <v>44.5</v>
      </c>
      <c r="K196" s="7" t="n">
        <v>5.37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7" t="n">
        <v>31.5</v>
      </c>
      <c r="E198" s="7" t="n">
        <v>0</v>
      </c>
      <c r="F198" s="7" t="n">
        <v>0</v>
      </c>
      <c r="G198" s="7" t="n">
        <v>0</v>
      </c>
      <c r="H198" s="7" t="n">
        <v>31.5</v>
      </c>
      <c r="I198" s="7" t="n">
        <v>0</v>
      </c>
      <c r="J198" s="7" t="n">
        <v>31.5</v>
      </c>
      <c r="K198" s="7" t="n">
        <v>3.8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7" t="n">
        <v>41.25</v>
      </c>
      <c r="E199" s="7" t="n">
        <v>12.75</v>
      </c>
      <c r="F199" s="7" t="n">
        <v>0</v>
      </c>
      <c r="G199" s="7" t="n">
        <v>0</v>
      </c>
      <c r="H199" s="7" t="n">
        <v>54</v>
      </c>
      <c r="I199" s="7" t="n">
        <v>0</v>
      </c>
      <c r="J199" s="7" t="n">
        <v>54</v>
      </c>
      <c r="K199" s="7" t="n">
        <v>6.52</v>
      </c>
    </row>
    <row r="200">
      <c r="A200" s="6" t="inlineStr">
        <is>
          <t>ANDRE SILVA</t>
        </is>
      </c>
      <c r="B200" s="6" t="inlineStr">
        <is>
          <t>PROD PREPARATION</t>
        </is>
      </c>
      <c r="C200" s="7" t="n">
        <v>627</v>
      </c>
      <c r="D200" s="7" t="n">
        <v>41.25</v>
      </c>
      <c r="E200" s="7" t="n">
        <v>7.25</v>
      </c>
      <c r="F200" s="7" t="n">
        <v>0</v>
      </c>
      <c r="G200" s="7" t="n">
        <v>0</v>
      </c>
      <c r="H200" s="7" t="n">
        <v>48.5</v>
      </c>
      <c r="I200" s="7" t="n">
        <v>0</v>
      </c>
      <c r="J200" s="7" t="n">
        <v>48.5</v>
      </c>
      <c r="K200" s="7" t="n">
        <v>5.85</v>
      </c>
    </row>
    <row r="201">
      <c r="A201" s="6" t="inlineStr">
        <is>
          <t>MAGDALENA SHAH</t>
        </is>
      </c>
      <c r="B201" s="6" t="inlineStr">
        <is>
          <t>PROD PREPARATION</t>
        </is>
      </c>
      <c r="C201" s="7" t="n">
        <v>263</v>
      </c>
      <c r="D201" s="7" t="n">
        <v>34.75</v>
      </c>
      <c r="E201" s="7" t="n">
        <v>0</v>
      </c>
      <c r="F201" s="7" t="n">
        <v>0</v>
      </c>
      <c r="G201" s="7" t="n">
        <v>0</v>
      </c>
      <c r="H201" s="7" t="n">
        <v>34.75</v>
      </c>
      <c r="I201" s="7" t="n">
        <v>0</v>
      </c>
      <c r="J201" s="7" t="n">
        <v>34.75</v>
      </c>
      <c r="K201" s="7" t="n">
        <v>4.19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7" t="n">
        <v>41.25</v>
      </c>
      <c r="E202" s="7" t="n">
        <v>9.25</v>
      </c>
      <c r="F202" s="7" t="n">
        <v>0</v>
      </c>
      <c r="G202" s="7" t="n">
        <v>0</v>
      </c>
      <c r="H202" s="7" t="n">
        <v>50.5</v>
      </c>
      <c r="I202" s="7" t="n">
        <v>0</v>
      </c>
      <c r="J202" s="7" t="n">
        <v>50.5</v>
      </c>
      <c r="K202" s="7" t="n">
        <v>6.1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7" t="n">
        <v>41.25</v>
      </c>
      <c r="E203" s="7" t="n">
        <v>8</v>
      </c>
      <c r="F203" s="7" t="n">
        <v>0</v>
      </c>
      <c r="G203" s="7" t="n">
        <v>0</v>
      </c>
      <c r="H203" s="7" t="n">
        <v>49.25</v>
      </c>
      <c r="I203" s="7" t="n">
        <v>0</v>
      </c>
      <c r="J203" s="7" t="n">
        <v>49.25</v>
      </c>
      <c r="K203" s="7" t="n">
        <v>5.94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7" t="n">
        <v>41.25</v>
      </c>
      <c r="E204" s="7" t="n">
        <v>15.75</v>
      </c>
      <c r="F204" s="7" t="n">
        <v>0</v>
      </c>
      <c r="G204" s="7" t="n">
        <v>0</v>
      </c>
      <c r="H204" s="7" t="n">
        <v>57</v>
      </c>
      <c r="I204" s="7" t="n">
        <v>0</v>
      </c>
      <c r="J204" s="7" t="n">
        <v>57</v>
      </c>
      <c r="K204" s="7" t="n">
        <v>6.88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7" t="n">
        <v>41.25</v>
      </c>
      <c r="E205" s="7" t="n">
        <v>15.75</v>
      </c>
      <c r="F205" s="7" t="n">
        <v>0</v>
      </c>
      <c r="G205" s="7" t="n">
        <v>0</v>
      </c>
      <c r="H205" s="7" t="n">
        <v>57</v>
      </c>
      <c r="I205" s="7" t="n">
        <v>0</v>
      </c>
      <c r="J205" s="7" t="n">
        <v>57</v>
      </c>
      <c r="K205" s="7" t="n">
        <v>6.88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7" t="n">
        <v>23</v>
      </c>
      <c r="E207" s="7" t="n">
        <v>0</v>
      </c>
      <c r="F207" s="7" t="n">
        <v>0</v>
      </c>
      <c r="G207" s="7" t="n">
        <v>0</v>
      </c>
      <c r="H207" s="7" t="n">
        <v>23</v>
      </c>
      <c r="I207" s="7" t="n">
        <v>0</v>
      </c>
      <c r="J207" s="7" t="n">
        <v>23</v>
      </c>
      <c r="K207" s="7" t="n">
        <v>2.78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7" t="n">
        <v>34.75</v>
      </c>
      <c r="E208" s="7" t="n">
        <v>0</v>
      </c>
      <c r="F208" s="7" t="n">
        <v>0</v>
      </c>
      <c r="G208" s="7" t="n">
        <v>0</v>
      </c>
      <c r="H208" s="7" t="n">
        <v>34.75</v>
      </c>
      <c r="I208" s="7" t="n">
        <v>0</v>
      </c>
      <c r="J208" s="7" t="n">
        <v>34.75</v>
      </c>
      <c r="K208" s="7" t="n">
        <v>4.19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7" t="n">
        <v>28</v>
      </c>
      <c r="E209" s="7" t="n">
        <v>0</v>
      </c>
      <c r="F209" s="7" t="n">
        <v>0</v>
      </c>
      <c r="G209" s="7" t="n">
        <v>0</v>
      </c>
      <c r="H209" s="7" t="n">
        <v>28</v>
      </c>
      <c r="I209" s="7" t="n">
        <v>0</v>
      </c>
      <c r="J209" s="7" t="n">
        <v>28</v>
      </c>
      <c r="K209" s="7" t="n">
        <v>3.38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7" t="n">
        <v>35.5</v>
      </c>
      <c r="E210" s="7" t="n">
        <v>0</v>
      </c>
      <c r="F210" s="7" t="n">
        <v>0</v>
      </c>
      <c r="G210" s="7" t="n">
        <v>0</v>
      </c>
      <c r="H210" s="7" t="n">
        <v>35.5</v>
      </c>
      <c r="I210" s="7" t="n">
        <v>0</v>
      </c>
      <c r="J210" s="7" t="n">
        <v>35.5</v>
      </c>
      <c r="K210" s="7" t="n">
        <v>4.28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7" t="n">
        <v>35.5</v>
      </c>
      <c r="E211" s="7" t="n">
        <v>0</v>
      </c>
      <c r="F211" s="7" t="n">
        <v>0</v>
      </c>
      <c r="G211" s="7" t="n">
        <v>0</v>
      </c>
      <c r="H211" s="7" t="n">
        <v>35.5</v>
      </c>
      <c r="I211" s="7" t="n">
        <v>0</v>
      </c>
      <c r="J211" s="7" t="n">
        <v>35.5</v>
      </c>
      <c r="K211" s="7" t="n">
        <v>4.28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7" t="n">
        <v>35.5</v>
      </c>
      <c r="E213" s="7" t="n">
        <v>0</v>
      </c>
      <c r="F213" s="7" t="n">
        <v>0</v>
      </c>
      <c r="G213" s="7" t="n">
        <v>0</v>
      </c>
      <c r="H213" s="7" t="n">
        <v>35.5</v>
      </c>
      <c r="I213" s="7" t="n">
        <v>0</v>
      </c>
      <c r="J213" s="7" t="n">
        <v>35.5</v>
      </c>
      <c r="K213" s="7" t="n">
        <v>4.28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7" t="n">
        <v>24</v>
      </c>
      <c r="E214" s="7" t="n">
        <v>0</v>
      </c>
      <c r="F214" s="7" t="n">
        <v>0</v>
      </c>
      <c r="G214" s="7" t="n">
        <v>0</v>
      </c>
      <c r="H214" s="7" t="n">
        <v>24</v>
      </c>
      <c r="I214" s="7" t="n">
        <v>0</v>
      </c>
      <c r="J214" s="7" t="n">
        <v>24</v>
      </c>
      <c r="K214" s="7" t="n">
        <v>2.9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7" t="n">
        <v>41.25</v>
      </c>
      <c r="E215" s="7" t="n">
        <v>4.5</v>
      </c>
      <c r="F215" s="7" t="n">
        <v>0</v>
      </c>
      <c r="G215" s="7" t="n">
        <v>0</v>
      </c>
      <c r="H215" s="7" t="n">
        <v>45.75</v>
      </c>
      <c r="I215" s="7" t="n">
        <v>0</v>
      </c>
      <c r="J215" s="7" t="n">
        <v>45.75</v>
      </c>
      <c r="K215" s="7" t="n">
        <v>5.52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7" t="n">
        <v>41.25</v>
      </c>
      <c r="E216" s="7" t="n">
        <v>0</v>
      </c>
      <c r="F216" s="7" t="n">
        <v>0</v>
      </c>
      <c r="G216" s="7" t="n">
        <v>0</v>
      </c>
      <c r="H216" s="7" t="n">
        <v>41.25</v>
      </c>
      <c r="I216" s="7" t="n">
        <v>0</v>
      </c>
      <c r="J216" s="7" t="n">
        <v>41.25</v>
      </c>
      <c r="K216" s="7" t="n">
        <v>4.98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7" t="n">
        <v>33.25</v>
      </c>
      <c r="E217" s="7" t="n">
        <v>3.75</v>
      </c>
      <c r="F217" s="7" t="n">
        <v>0</v>
      </c>
      <c r="G217" s="7" t="n">
        <v>8</v>
      </c>
      <c r="H217" s="7" t="n">
        <v>45</v>
      </c>
      <c r="I217" s="7" t="n">
        <v>0</v>
      </c>
      <c r="J217" s="7" t="n">
        <v>45</v>
      </c>
      <c r="K217" s="7" t="n">
        <v>5.43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7" t="n">
        <v>31.25</v>
      </c>
      <c r="E218" s="7" t="n">
        <v>0</v>
      </c>
      <c r="F218" s="7" t="n">
        <v>0</v>
      </c>
      <c r="G218" s="7" t="n">
        <v>0</v>
      </c>
      <c r="H218" s="7" t="n">
        <v>31.25</v>
      </c>
      <c r="I218" s="7" t="n">
        <v>0</v>
      </c>
      <c r="J218" s="7" t="n">
        <v>31.25</v>
      </c>
      <c r="K218" s="7" t="n">
        <v>3.77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7" t="n">
        <v>41.25</v>
      </c>
      <c r="E219" s="7" t="n">
        <v>1.25</v>
      </c>
      <c r="F219" s="7" t="n">
        <v>0</v>
      </c>
      <c r="G219" s="7" t="n">
        <v>0</v>
      </c>
      <c r="H219" s="7" t="n">
        <v>42.5</v>
      </c>
      <c r="I219" s="7" t="n">
        <v>0</v>
      </c>
      <c r="J219" s="7" t="n">
        <v>42.5</v>
      </c>
      <c r="K219" s="7" t="n">
        <v>5.13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7" t="n">
        <v>36.75</v>
      </c>
      <c r="E220" s="7" t="n">
        <v>0</v>
      </c>
      <c r="F220" s="7" t="n">
        <v>0</v>
      </c>
      <c r="G220" s="7" t="n">
        <v>0</v>
      </c>
      <c r="H220" s="7" t="n">
        <v>36.75</v>
      </c>
      <c r="I220" s="7" t="n">
        <v>0</v>
      </c>
      <c r="J220" s="7" t="n">
        <v>36.75</v>
      </c>
      <c r="K220" s="7" t="n">
        <v>4.44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7" t="n">
        <v>41.25</v>
      </c>
      <c r="E221" s="7" t="n">
        <v>1</v>
      </c>
      <c r="F221" s="7" t="n">
        <v>0</v>
      </c>
      <c r="G221" s="7" t="n">
        <v>0</v>
      </c>
      <c r="H221" s="7" t="n">
        <v>42.25</v>
      </c>
      <c r="I221" s="7" t="n">
        <v>0</v>
      </c>
      <c r="J221" s="7" t="n">
        <v>42.25</v>
      </c>
      <c r="K221" s="7" t="n">
        <v>5.1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7" t="n">
        <v>22.5</v>
      </c>
      <c r="E222" s="7" t="n">
        <v>0</v>
      </c>
      <c r="F222" s="7" t="n">
        <v>7.5</v>
      </c>
      <c r="G222" s="7" t="n">
        <v>0</v>
      </c>
      <c r="H222" s="7" t="n">
        <v>30</v>
      </c>
      <c r="I222" s="7" t="n">
        <v>0</v>
      </c>
      <c r="J222" s="7" t="n">
        <v>30</v>
      </c>
      <c r="K222" s="7" t="n">
        <v>3.62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7">
        <f>SUMIFS($D$7:$D$222,$B$7:$B$222,$B231)</f>
        <v/>
      </c>
      <c r="E231" s="7">
        <f>SUMIFS($E$7:$E$222,$B$7:$B$222,$B231)</f>
        <v/>
      </c>
      <c r="F231" s="7">
        <f>SUMIFS($F$7:$F$222,$B$7:$B$222,$B231)</f>
        <v/>
      </c>
      <c r="G231" s="7">
        <f>SUMIFS($G$7:$G$222,$B$7:$B$222,$B231)</f>
        <v/>
      </c>
      <c r="H231" s="7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7">
        <f>SUMIFS($D$7:$D$222,$B$7:$B$222,$B232)</f>
        <v/>
      </c>
      <c r="E232" s="7">
        <f>SUMIFS($E$7:$E$222,$B$7:$B$222,$B232)</f>
        <v/>
      </c>
      <c r="F232" s="7">
        <f>SUMIFS($F$7:$F$222,$B$7:$B$222,$B232)</f>
        <v/>
      </c>
      <c r="G232" s="7">
        <f>SUMIFS($G$7:$G$222,$B$7:$B$222,$B232)</f>
        <v/>
      </c>
      <c r="H232" s="7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7">
        <f>SUMIFS($D$7:$D$222,$B$7:$B$222,$B233)</f>
        <v/>
      </c>
      <c r="E233" s="7">
        <f>SUMIFS($E$7:$E$222,$B$7:$B$222,$B233)</f>
        <v/>
      </c>
      <c r="F233" s="7">
        <f>SUMIFS($F$7:$F$222,$B$7:$B$222,$B233)</f>
        <v/>
      </c>
      <c r="G233" s="7">
        <f>SUMIFS($G$7:$G$222,$B$7:$B$222,$B233)</f>
        <v/>
      </c>
      <c r="H233" s="7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7">
        <f>SUMIFS($D$7:$D$222,$B$7:$B$222,$B234)</f>
        <v/>
      </c>
      <c r="E234" s="7">
        <f>SUMIFS($E$7:$E$222,$B$7:$B$222,$B234)</f>
        <v/>
      </c>
      <c r="F234" s="7">
        <f>SUMIFS($F$7:$F$222,$B$7:$B$222,$B234)</f>
        <v/>
      </c>
      <c r="G234" s="7">
        <f>SUMIFS($G$7:$G$222,$B$7:$B$222,$B234)</f>
        <v/>
      </c>
      <c r="H234" s="7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7">
        <f>SUMIFS($D$7:$D$222,$B$7:$B$222,$B235)</f>
        <v/>
      </c>
      <c r="E235" s="7">
        <f>SUMIFS($E$7:$E$222,$B$7:$B$222,$B235)</f>
        <v/>
      </c>
      <c r="F235" s="7">
        <f>SUMIFS($F$7:$F$222,$B$7:$B$222,$B235)</f>
        <v/>
      </c>
      <c r="G235" s="7">
        <f>SUMIFS($G$7:$G$222,$B$7:$B$222,$B235)</f>
        <v/>
      </c>
      <c r="H235" s="7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7">
        <f>SUMIFS($D$7:$D$222,$B$7:$B$222,$B236)</f>
        <v/>
      </c>
      <c r="E236" s="7">
        <f>SUMIFS($E$7:$E$222,$B$7:$B$222,$B236)</f>
        <v/>
      </c>
      <c r="F236" s="7">
        <f>SUMIFS($F$7:$F$222,$B$7:$B$222,$B236)</f>
        <v/>
      </c>
      <c r="G236" s="7">
        <f>SUMIFS($G$7:$G$222,$B$7:$B$222,$B236)</f>
        <v/>
      </c>
      <c r="H236" s="7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7">
        <f>SUMIFS($D$7:$D$222,$B$7:$B$222,$B237)</f>
        <v/>
      </c>
      <c r="E237" s="7">
        <f>SUMIFS($E$7:$E$222,$B$7:$B$222,$B237)</f>
        <v/>
      </c>
      <c r="F237" s="7">
        <f>SUMIFS($F$7:$F$222,$B$7:$B$222,$B237)</f>
        <v/>
      </c>
      <c r="G237" s="7">
        <f>SUMIFS($G$7:$G$222,$B$7:$B$222,$B237)</f>
        <v/>
      </c>
      <c r="H237" s="7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7">
        <f>SUMIFS($D$7:$D$222,$B$7:$B$222,$B238)</f>
        <v/>
      </c>
      <c r="E238" s="7">
        <f>SUMIFS($E$7:$E$222,$B$7:$B$222,$B238)</f>
        <v/>
      </c>
      <c r="F238" s="7">
        <f>SUMIFS($F$7:$F$222,$B$7:$B$222,$B238)</f>
        <v/>
      </c>
      <c r="G238" s="7">
        <f>SUMIFS($G$7:$G$222,$B$7:$B$222,$B238)</f>
        <v/>
      </c>
      <c r="H238" s="7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7">
        <f>SUMIFS($D$7:$D$222,$B$7:$B$222,$B239)</f>
        <v/>
      </c>
      <c r="E239" s="7">
        <f>SUMIFS($E$7:$E$222,$B$7:$B$222,$B239)</f>
        <v/>
      </c>
      <c r="F239" s="7">
        <f>SUMIFS($F$7:$F$222,$B$7:$B$222,$B239)</f>
        <v/>
      </c>
      <c r="G239" s="7">
        <f>SUMIFS($G$7:$G$222,$B$7:$B$222,$B239)</f>
        <v/>
      </c>
      <c r="H239" s="7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7">
        <f>SUMIFS($D$7:$D$222,$B$7:$B$222,$B240)</f>
        <v/>
      </c>
      <c r="E240" s="7">
        <f>SUMIFS($E$7:$E$222,$B$7:$B$222,$B240)</f>
        <v/>
      </c>
      <c r="F240" s="7">
        <f>SUMIFS($F$7:$F$222,$B$7:$B$222,$B240)</f>
        <v/>
      </c>
      <c r="G240" s="7">
        <f>SUMIFS($G$7:$G$222,$B$7:$B$222,$B240)</f>
        <v/>
      </c>
      <c r="H240" s="7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7">
        <f>SUMIFS($D$7:$D$222,$B$7:$B$222,$B241)</f>
        <v/>
      </c>
      <c r="E241" s="7">
        <f>SUMIFS($E$7:$E$222,$B$7:$B$222,$B241)</f>
        <v/>
      </c>
      <c r="F241" s="7">
        <f>SUMIFS($F$7:$F$222,$B$7:$B$222,$B241)</f>
        <v/>
      </c>
      <c r="G241" s="7">
        <f>SUMIFS($G$7:$G$222,$B$7:$B$222,$B241)</f>
        <v/>
      </c>
      <c r="H241" s="7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7">
        <f>SUMIFS($D$7:$D$222,$B$7:$B$222,$B242)</f>
        <v/>
      </c>
      <c r="E242" s="7">
        <f>SUMIFS($E$7:$E$222,$B$7:$B$222,$B242)</f>
        <v/>
      </c>
      <c r="F242" s="7">
        <f>SUMIFS($F$7:$F$222,$B$7:$B$222,$B242)</f>
        <v/>
      </c>
      <c r="G242" s="7">
        <f>SUMIFS($G$7:$G$222,$B$7:$B$222,$B242)</f>
        <v/>
      </c>
      <c r="H242" s="7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7">
        <f>SUMIFS($D$7:$D$222,$B$7:$B$222,$B243)</f>
        <v/>
      </c>
      <c r="E243" s="7">
        <f>SUMIFS($E$7:$E$222,$B$7:$B$222,$B243)</f>
        <v/>
      </c>
      <c r="F243" s="7">
        <f>SUMIFS($F$7:$F$222,$B$7:$B$222,$B243)</f>
        <v/>
      </c>
      <c r="G243" s="7">
        <f>SUMIFS($G$7:$G$222,$B$7:$B$222,$B243)</f>
        <v/>
      </c>
      <c r="H243" s="7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7">
        <f>SUMIFS($D$7:$D$222,$B$7:$B$222,$B244)</f>
        <v/>
      </c>
      <c r="E244" s="7">
        <f>SUMIFS($E$7:$E$222,$B$7:$B$222,$B244)</f>
        <v/>
      </c>
      <c r="F244" s="7">
        <f>SUMIFS($F$7:$F$222,$B$7:$B$222,$B244)</f>
        <v/>
      </c>
      <c r="G244" s="7">
        <f>SUMIFS($G$7:$G$222,$B$7:$B$222,$B244)</f>
        <v/>
      </c>
      <c r="H244" s="7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7">
        <f>SUMIFS($D$7:$D$222,$B$7:$B$222,$B245)</f>
        <v/>
      </c>
      <c r="E245" s="7">
        <f>SUMIFS($E$7:$E$222,$B$7:$B$222,$B245)</f>
        <v/>
      </c>
      <c r="F245" s="7">
        <f>SUMIFS($F$7:$F$222,$B$7:$B$222,$B245)</f>
        <v/>
      </c>
      <c r="G245" s="7">
        <f>SUMIFS($G$7:$G$222,$B$7:$B$222,$B245)</f>
        <v/>
      </c>
      <c r="H245" s="7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7">
        <f>SUMIFS($D$7:$D$222,$B$7:$B$222,$B246)</f>
        <v/>
      </c>
      <c r="E246" s="7">
        <f>SUMIFS($E$7:$E$222,$B$7:$B$222,$B246)</f>
        <v/>
      </c>
      <c r="F246" s="7">
        <f>SUMIFS($F$7:$F$222,$B$7:$B$222,$B246)</f>
        <v/>
      </c>
      <c r="G246" s="7">
        <f>SUMIFS($G$7:$G$222,$B$7:$B$222,$B246)</f>
        <v/>
      </c>
      <c r="H246" s="7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7">
        <f>SUMIFS($D$7:$D$222,$B$7:$B$222,$B247)</f>
        <v/>
      </c>
      <c r="E247" s="7">
        <f>SUMIFS($E$7:$E$222,$B$7:$B$222,$B247)</f>
        <v/>
      </c>
      <c r="F247" s="7">
        <f>SUMIFS($F$7:$F$222,$B$7:$B$222,$B247)</f>
        <v/>
      </c>
      <c r="G247" s="7">
        <f>SUMIFS($G$7:$G$222,$B$7:$B$222,$B247)</f>
        <v/>
      </c>
      <c r="H247" s="7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7">
        <f>SUMIFS($D$7:$D$222,$B$7:$B$222,$B248)</f>
        <v/>
      </c>
      <c r="E248" s="7">
        <f>SUMIFS($E$7:$E$222,$B$7:$B$222,$B248)</f>
        <v/>
      </c>
      <c r="F248" s="7">
        <f>SUMIFS($F$7:$F$222,$B$7:$B$222,$B248)</f>
        <v/>
      </c>
      <c r="G248" s="7">
        <f>SUMIFS($G$7:$G$222,$B$7:$B$222,$B248)</f>
        <v/>
      </c>
      <c r="H248" s="7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7">
        <f>SUMIFS($D$7:$D$222,$B$7:$B$222,$B249)</f>
        <v/>
      </c>
      <c r="E249" s="7">
        <f>SUMIFS($E$7:$E$222,$B$7:$B$222,$B249)</f>
        <v/>
      </c>
      <c r="F249" s="7">
        <f>SUMIFS($F$7:$F$222,$B$7:$B$222,$B249)</f>
        <v/>
      </c>
      <c r="G249" s="7">
        <f>SUMIFS($G$7:$G$222,$B$7:$B$222,$B249)</f>
        <v/>
      </c>
      <c r="H249" s="7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7">
        <f>SUMIFS($D$7:$D$222,$B$7:$B$222,$B250)</f>
        <v/>
      </c>
      <c r="E250" s="7">
        <f>SUMIFS($E$7:$E$222,$B$7:$B$222,$B250)</f>
        <v/>
      </c>
      <c r="F250" s="7">
        <f>SUMIFS($F$7:$F$222,$B$7:$B$222,$B250)</f>
        <v/>
      </c>
      <c r="G250" s="7">
        <f>SUMIFS($G$7:$G$222,$B$7:$B$222,$B250)</f>
        <v/>
      </c>
      <c r="H250" s="7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7">
        <f>SUMIFS($D$7:$D$222,$B$7:$B$222,$B251)</f>
        <v/>
      </c>
      <c r="E251" s="7">
        <f>SUMIFS($E$7:$E$222,$B$7:$B$222,$B251)</f>
        <v/>
      </c>
      <c r="F251" s="7">
        <f>SUMIFS($F$7:$F$222,$B$7:$B$222,$B251)</f>
        <v/>
      </c>
      <c r="G251" s="7">
        <f>SUMIFS($G$7:$G$222,$B$7:$B$222,$B251)</f>
        <v/>
      </c>
      <c r="H251" s="7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7">
        <f>SUMIFS($D$7:$D$222,$B$7:$B$222,$B252)</f>
        <v/>
      </c>
      <c r="E252" s="7">
        <f>SUMIFS($E$7:$E$222,$B$7:$B$222,$B252)</f>
        <v/>
      </c>
      <c r="F252" s="7">
        <f>SUMIFS($F$7:$F$222,$B$7:$B$222,$B252)</f>
        <v/>
      </c>
      <c r="G252" s="7">
        <f>SUMIFS($G$7:$G$222,$B$7:$B$222,$B252)</f>
        <v/>
      </c>
      <c r="H252" s="7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7">
        <f>SUMIFS($D$7:$D$222,$B$7:$B$222,$B253)</f>
        <v/>
      </c>
      <c r="E253" s="7">
        <f>SUMIFS($E$7:$E$222,$B$7:$B$222,$B253)</f>
        <v/>
      </c>
      <c r="F253" s="7">
        <f>SUMIFS($F$7:$F$222,$B$7:$B$222,$B253)</f>
        <v/>
      </c>
      <c r="G253" s="7">
        <f>SUMIFS($G$7:$G$222,$B$7:$B$222,$B253)</f>
        <v/>
      </c>
      <c r="H253" s="7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7">
        <f>SUMIFS($D$7:$D$222,$B$7:$B$222,$B254)</f>
        <v/>
      </c>
      <c r="E254" s="7">
        <f>SUMIFS($E$7:$E$222,$B$7:$B$222,$B254)</f>
        <v/>
      </c>
      <c r="F254" s="7">
        <f>SUMIFS($F$7:$F$222,$B$7:$B$222,$B254)</f>
        <v/>
      </c>
      <c r="G254" s="7">
        <f>SUMIFS($G$7:$G$222,$B$7:$B$222,$B254)</f>
        <v/>
      </c>
      <c r="H254" s="7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7">
        <f>SUMIFS($D$7:$D$222,$B$7:$B$222,$B255)</f>
        <v/>
      </c>
      <c r="E255" s="7">
        <f>SUMIFS($E$7:$E$222,$B$7:$B$222,$B255)</f>
        <v/>
      </c>
      <c r="F255" s="7">
        <f>SUMIFS($F$7:$F$222,$B$7:$B$222,$B255)</f>
        <v/>
      </c>
      <c r="G255" s="7">
        <f>SUMIFS($G$7:$G$222,$B$7:$B$222,$B255)</f>
        <v/>
      </c>
      <c r="H255" s="7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7">
        <f>SUMIFS($D$7:$D$222,$B$7:$B$222,$B256)</f>
        <v/>
      </c>
      <c r="E256" s="7">
        <f>SUMIFS($E$7:$E$222,$B$7:$B$222,$B256)</f>
        <v/>
      </c>
      <c r="F256" s="7">
        <f>SUMIFS($F$7:$F$222,$B$7:$B$222,$B256)</f>
        <v/>
      </c>
      <c r="G256" s="7">
        <f>SUMIFS($G$7:$G$222,$B$7:$B$222,$B256)</f>
        <v/>
      </c>
      <c r="H256" s="7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7">
        <f>SUMIFS($D$7:$D$222,$B$7:$B$222,$B257)</f>
        <v/>
      </c>
      <c r="E257" s="7">
        <f>SUMIFS($E$7:$E$222,$B$7:$B$222,$B257)</f>
        <v/>
      </c>
      <c r="F257" s="7">
        <f>SUMIFS($F$7:$F$222,$B$7:$B$222,$B257)</f>
        <v/>
      </c>
      <c r="G257" s="7">
        <f>SUMIFS($G$7:$G$222,$B$7:$B$222,$B257)</f>
        <v/>
      </c>
      <c r="H257" s="7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7" t="n">
        <v>229.75</v>
      </c>
      <c r="E262" s="7" t="n">
        <v>9.5</v>
      </c>
      <c r="F262" s="7" t="n">
        <v>9.75</v>
      </c>
      <c r="G262" s="7" t="n">
        <v>0</v>
      </c>
      <c r="H262" s="7" t="n">
        <v>249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7" t="n">
        <v>40</v>
      </c>
      <c r="E264" s="7" t="n">
        <v>0</v>
      </c>
      <c r="F264" s="7" t="n">
        <v>0</v>
      </c>
      <c r="G264" s="7" t="n">
        <v>0</v>
      </c>
      <c r="H264" s="7" t="n">
        <v>40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7" t="n">
        <v>706.5</v>
      </c>
      <c r="E265" s="7" t="n">
        <v>7.5</v>
      </c>
      <c r="F265" s="7" t="n">
        <v>0</v>
      </c>
      <c r="G265" s="7" t="n">
        <v>0</v>
      </c>
      <c r="H265" s="7" t="n">
        <v>714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7" t="n">
        <v>1005</v>
      </c>
      <c r="E266" s="7" t="n">
        <v>36.5</v>
      </c>
      <c r="F266" s="7" t="n">
        <v>3.25</v>
      </c>
      <c r="G266" s="7" t="n">
        <v>0</v>
      </c>
      <c r="H266" s="7" t="n">
        <v>1044.75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7" t="n">
        <v>72.75</v>
      </c>
      <c r="E267" s="7" t="n">
        <v>0</v>
      </c>
      <c r="F267" s="7" t="n">
        <v>0</v>
      </c>
      <c r="G267" s="7" t="n">
        <v>0</v>
      </c>
      <c r="H267" s="7" t="n">
        <v>72.75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7" t="n">
        <v>41.25</v>
      </c>
      <c r="E268" s="7" t="n">
        <v>9.5</v>
      </c>
      <c r="F268" s="7" t="n">
        <v>0</v>
      </c>
      <c r="G268" s="7" t="n">
        <v>0</v>
      </c>
      <c r="H268" s="7" t="n">
        <v>50.75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7" t="n">
        <v>39.5</v>
      </c>
      <c r="E270" s="7" t="n">
        <v>7.75</v>
      </c>
      <c r="F270" s="7" t="n">
        <v>0</v>
      </c>
      <c r="G270" s="7" t="n">
        <v>0</v>
      </c>
      <c r="H270" s="7" t="n">
        <v>47.25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7" t="n">
        <v>39.5</v>
      </c>
      <c r="E271" s="7" t="n">
        <v>0</v>
      </c>
      <c r="F271" s="7" t="n">
        <v>0</v>
      </c>
      <c r="G271" s="7" t="n">
        <v>0</v>
      </c>
      <c r="H271" s="7" t="n">
        <v>39.5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7" t="n">
        <v>56.25</v>
      </c>
      <c r="E272" s="7" t="n">
        <v>0</v>
      </c>
      <c r="F272" s="7" t="n">
        <v>0</v>
      </c>
      <c r="G272" s="7" t="n">
        <v>0</v>
      </c>
      <c r="H272" s="7" t="n">
        <v>56.25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7" t="n">
        <v>203.25</v>
      </c>
      <c r="E273" s="7" t="n">
        <v>16</v>
      </c>
      <c r="F273" s="7" t="n">
        <v>14.75</v>
      </c>
      <c r="G273" s="7" t="n">
        <v>0</v>
      </c>
      <c r="H273" s="7" t="n">
        <v>234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7" t="n">
        <v>41.25</v>
      </c>
      <c r="E274" s="7" t="n">
        <v>23.25</v>
      </c>
      <c r="F274" s="7" t="n">
        <v>0</v>
      </c>
      <c r="G274" s="7" t="n">
        <v>0</v>
      </c>
      <c r="H274" s="7" t="n">
        <v>64.5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7" t="n">
        <v>428.5</v>
      </c>
      <c r="E275" s="7" t="n">
        <v>39</v>
      </c>
      <c r="F275" s="7" t="n">
        <v>0</v>
      </c>
      <c r="G275" s="7" t="n">
        <v>24</v>
      </c>
      <c r="H275" s="7" t="n">
        <v>491.5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7" t="n">
        <v>770.5</v>
      </c>
      <c r="E276" s="7" t="n">
        <v>45.5</v>
      </c>
      <c r="F276" s="7" t="n">
        <v>0</v>
      </c>
      <c r="G276" s="7" t="n">
        <v>48</v>
      </c>
      <c r="H276" s="7" t="n">
        <v>864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7" t="n">
        <v>1400</v>
      </c>
      <c r="E277" s="7" t="n">
        <v>96</v>
      </c>
      <c r="F277" s="7" t="n">
        <v>6.75</v>
      </c>
      <c r="G277" s="7" t="n">
        <v>8</v>
      </c>
      <c r="H277" s="7" t="n">
        <v>1510.75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7" t="n">
        <v>171</v>
      </c>
      <c r="E278" s="7" t="n">
        <v>8.25</v>
      </c>
      <c r="F278" s="7" t="n">
        <v>0</v>
      </c>
      <c r="G278" s="7" t="n">
        <v>8</v>
      </c>
      <c r="H278" s="7" t="n">
        <v>187.25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7" t="n">
        <v>141.75</v>
      </c>
      <c r="E279" s="7" t="n">
        <v>2.25</v>
      </c>
      <c r="F279" s="7" t="n">
        <v>7.5</v>
      </c>
      <c r="G279" s="7" t="n">
        <v>0</v>
      </c>
      <c r="H279" s="7" t="n">
        <v>151.5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7" t="n">
        <v>2461.25</v>
      </c>
      <c r="E284" s="7" t="n">
        <v>132.5</v>
      </c>
      <c r="F284" s="7" t="n">
        <v>10</v>
      </c>
      <c r="G284" s="7" t="n">
        <v>8</v>
      </c>
      <c r="H284" s="7" t="n">
        <v>2611.75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7" t="n">
        <v>1557.75</v>
      </c>
      <c r="E285" s="7" t="n">
        <v>76.25</v>
      </c>
      <c r="F285" s="7" t="n">
        <v>0</v>
      </c>
      <c r="G285" s="7" t="n">
        <v>48</v>
      </c>
      <c r="H285" s="7" t="n">
        <v>1682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7" t="n">
        <v>183</v>
      </c>
      <c r="E286" s="7" t="n">
        <v>11.75</v>
      </c>
      <c r="F286" s="7" t="n">
        <v>7.5</v>
      </c>
      <c r="G286" s="7" t="n">
        <v>0</v>
      </c>
      <c r="H286" s="7" t="n">
        <v>202.25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7" t="n">
        <v>433</v>
      </c>
      <c r="E287" s="7" t="n">
        <v>25.5</v>
      </c>
      <c r="F287" s="7" t="n">
        <v>24.5</v>
      </c>
      <c r="G287" s="7" t="n">
        <v>0</v>
      </c>
      <c r="H287" s="7" t="n">
        <v>483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7" t="n">
        <v>243.75</v>
      </c>
      <c r="E288" s="7" t="n">
        <v>8.25</v>
      </c>
      <c r="F288" s="7" t="n">
        <v>0</v>
      </c>
      <c r="G288" s="7" t="n">
        <v>8</v>
      </c>
      <c r="H288" s="7" t="n">
        <v>260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7" t="n">
        <v>508</v>
      </c>
      <c r="E289" s="7" t="n">
        <v>46.75</v>
      </c>
      <c r="F289" s="7" t="n">
        <v>0</v>
      </c>
      <c r="G289" s="7" t="n">
        <v>24</v>
      </c>
      <c r="H289" s="7" t="n">
        <v>578.75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7">
        <f>SUM($D$7:$D$222)-D295</f>
        <v/>
      </c>
      <c r="E294" s="7">
        <f>SUM($E$7:$E$222)-E295</f>
        <v/>
      </c>
      <c r="F294" s="7">
        <f>SUM($F$7:$F$222)-F295</f>
        <v/>
      </c>
      <c r="G294" s="7">
        <f>SUM($G$7:$G$222)-G295</f>
        <v/>
      </c>
      <c r="H294" s="7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7">
        <f>SUMPRODUCT((LEFT($B$7:$B$222,2)="A-")*($D$7:$D$222))</f>
        <v/>
      </c>
      <c r="E295" s="7">
        <f>SUMPRODUCT((LEFT($B$7:$B$222,2)="A-")*($E$7:$E$222))</f>
        <v/>
      </c>
      <c r="F295" s="7">
        <f>SUMPRODUCT((LEFT($B$7:$B$222,2)="A-")*($F$7:$F$222))</f>
        <v/>
      </c>
      <c r="G295" s="7">
        <f>SUMPRODUCT((LEFT($B$7:$B$222,2)="A-")*($G$7:$G$222))</f>
        <v/>
      </c>
      <c r="H295" s="7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7">
        <f>D294+D295</f>
        <v/>
      </c>
      <c r="E296" s="7">
        <f>E294+E295</f>
        <v/>
      </c>
      <c r="F296" s="7">
        <f>F294+F295</f>
        <v/>
      </c>
      <c r="G296" s="7">
        <f>G294+G295</f>
        <v/>
      </c>
      <c r="H296" s="7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7">
        <f>SUM($J$7:$J$222)-J302</f>
        <v/>
      </c>
      <c r="K301" s="7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7">
        <f>SUMPRODUCT((LEFT($B$7:$B$222,2)="A-")*($J$7:$J$222))</f>
        <v/>
      </c>
      <c r="K302" s="7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7">
        <f>J301+J302</f>
        <v/>
      </c>
      <c r="K303" s="7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Monthly Summary</t>
        </is>
      </c>
    </row>
    <row r="2">
      <c r="A2" s="2" t="inlineStr"/>
    </row>
    <row r="4">
      <c r="A4" s="3" t="inlineStr">
        <is>
          <t>Monthly summary — all employees (weeks combined)</t>
        </is>
      </c>
    </row>
    <row r="5">
      <c r="A5" s="4" t="inlineStr">
        <is>
          <t>Total paid hours per employee across all uploaded weeks. Totals use Excel formulas — click any hour cell to see Week sheet references.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>
        <f>SUMIF('Week1'!$A:$A,$A7,'Week1'!$D:$D)+SUMIF('Week2'!$A:$A,$A7,'Week2'!$D:$D)+SUMIF('Week3'!$A:$A,$A7,'Week3'!$D:$D)+SUMIF('Week4'!$A:$A,$A7,'Week4'!$D:$D)</f>
        <v/>
      </c>
      <c r="E7" s="7">
        <f>SUMIF('Week1'!$A:$A,$A7,'Week1'!$E:$E)+SUMIF('Week2'!$A:$A,$A7,'Week2'!$E:$E)+SUMIF('Week3'!$A:$A,$A7,'Week3'!$E:$E)+SUMIF('Week4'!$A:$A,$A7,'Week4'!$E:$E)</f>
        <v/>
      </c>
      <c r="F7" s="7">
        <f>SUMIF('Week1'!$A:$A,$A7,'Week1'!$F:$F)+SUMIF('Week2'!$A:$A,$A7,'Week2'!$F:$F)+SUMIF('Week3'!$A:$A,$A7,'Week3'!$F:$F)+SUMIF('Week4'!$A:$A,$A7,'Week4'!$F:$F)</f>
        <v/>
      </c>
      <c r="G7" s="7">
        <f>SUMIF('Week1'!$A:$A,$A7,'Week1'!$G:$G)+SUMIF('Week2'!$A:$A,$A7,'Week2'!$G:$G)+SUMIF('Week3'!$A:$A,$A7,'Week3'!$G:$G)+SUMIF('Week4'!$A:$A,$A7,'Week4'!$G:$G)</f>
        <v/>
      </c>
      <c r="H7" s="7">
        <f>SUMIF('Week1'!$A:$A,$A7,'Week1'!$H:$H)+SUMIF('Week2'!$A:$A,$A7,'Week2'!$H:$H)+SUMIF('Week3'!$A:$A,$A7,'Week3'!$H:$H)+SUMIF('Week4'!$A:$A,$A7,'Week4'!$H:$H)</f>
        <v/>
      </c>
      <c r="I7" s="7">
        <f>SUMIF('Week1'!$A:$A,$A7,'Week1'!$I:$I)+SUMIF('Week2'!$A:$A,$A7,'Week2'!$I:$I)+SUMIF('Week3'!$A:$A,$A7,'Week3'!$I:$I)+SUMIF('Week4'!$A:$A,$A7,'Week4'!$I:$I)</f>
        <v/>
      </c>
      <c r="J7" s="7">
        <f>SUMIF('Week1'!$A:$A,$A7,'Week1'!$J:$J)+SUMIF('Week2'!$A:$A,$A7,'Week2'!$J:$J)+SUMIF('Week3'!$A:$A,$A7,'Week3'!$J:$J)+SUMIF('Week4'!$A:$A,$A7,'Week4'!$J:$J)</f>
        <v/>
      </c>
      <c r="K7" s="7">
        <f>SUMIF('Week1'!$A:$A,$A7,'Week1'!$K:$K)+SUMIF('Week2'!$A:$A,$A7,'Week2'!$K:$K)+SUMIF('Week3'!$A:$A,$A7,'Week3'!$K:$K)+SUMIF('Week4'!$A:$A,$A7,'Week4'!$K:$K)</f>
        <v/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7">
        <f>SUMIF('Week1'!$A:$A,$A8,'Week1'!$D:$D)+SUMIF('Week2'!$A:$A,$A8,'Week2'!$D:$D)+SUMIF('Week3'!$A:$A,$A8,'Week3'!$D:$D)+SUMIF('Week4'!$A:$A,$A8,'Week4'!$D:$D)</f>
        <v/>
      </c>
      <c r="E8" s="7">
        <f>SUMIF('Week1'!$A:$A,$A8,'Week1'!$E:$E)+SUMIF('Week2'!$A:$A,$A8,'Week2'!$E:$E)+SUMIF('Week3'!$A:$A,$A8,'Week3'!$E:$E)+SUMIF('Week4'!$A:$A,$A8,'Week4'!$E:$E)</f>
        <v/>
      </c>
      <c r="F8" s="7">
        <f>SUMIF('Week1'!$A:$A,$A8,'Week1'!$F:$F)+SUMIF('Week2'!$A:$A,$A8,'Week2'!$F:$F)+SUMIF('Week3'!$A:$A,$A8,'Week3'!$F:$F)+SUMIF('Week4'!$A:$A,$A8,'Week4'!$F:$F)</f>
        <v/>
      </c>
      <c r="G8" s="7">
        <f>SUMIF('Week1'!$A:$A,$A8,'Week1'!$G:$G)+SUMIF('Week2'!$A:$A,$A8,'Week2'!$G:$G)+SUMIF('Week3'!$A:$A,$A8,'Week3'!$G:$G)+SUMIF('Week4'!$A:$A,$A8,'Week4'!$G:$G)</f>
        <v/>
      </c>
      <c r="H8" s="7">
        <f>SUMIF('Week1'!$A:$A,$A8,'Week1'!$H:$H)+SUMIF('Week2'!$A:$A,$A8,'Week2'!$H:$H)+SUMIF('Week3'!$A:$A,$A8,'Week3'!$H:$H)+SUMIF('Week4'!$A:$A,$A8,'Week4'!$H:$H)</f>
        <v/>
      </c>
      <c r="I8" s="7">
        <f>SUMIF('Week1'!$A:$A,$A8,'Week1'!$I:$I)+SUMIF('Week2'!$A:$A,$A8,'Week2'!$I:$I)+SUMIF('Week3'!$A:$A,$A8,'Week3'!$I:$I)+SUMIF('Week4'!$A:$A,$A8,'Week4'!$I:$I)</f>
        <v/>
      </c>
      <c r="J8" s="7">
        <f>SUMIF('Week1'!$A:$A,$A8,'Week1'!$J:$J)+SUMIF('Week2'!$A:$A,$A8,'Week2'!$J:$J)+SUMIF('Week3'!$A:$A,$A8,'Week3'!$J:$J)+SUMIF('Week4'!$A:$A,$A8,'Week4'!$J:$J)</f>
        <v/>
      </c>
      <c r="K8" s="7">
        <f>SUMIF('Week1'!$A:$A,$A8,'Week1'!$K:$K)+SUMIF('Week2'!$A:$A,$A8,'Week2'!$K:$K)+SUMIF('Week3'!$A:$A,$A8,'Week3'!$K:$K)+SUMIF('Week4'!$A:$A,$A8,'Week4'!$K:$K)</f>
        <v/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7">
        <f>SUMIF('Week1'!$A:$A,$A9,'Week1'!$D:$D)+SUMIF('Week2'!$A:$A,$A9,'Week2'!$D:$D)+SUMIF('Week3'!$A:$A,$A9,'Week3'!$D:$D)+SUMIF('Week4'!$A:$A,$A9,'Week4'!$D:$D)</f>
        <v/>
      </c>
      <c r="E9" s="7">
        <f>SUMIF('Week1'!$A:$A,$A9,'Week1'!$E:$E)+SUMIF('Week2'!$A:$A,$A9,'Week2'!$E:$E)+SUMIF('Week3'!$A:$A,$A9,'Week3'!$E:$E)+SUMIF('Week4'!$A:$A,$A9,'Week4'!$E:$E)</f>
        <v/>
      </c>
      <c r="F9" s="7">
        <f>SUMIF('Week1'!$A:$A,$A9,'Week1'!$F:$F)+SUMIF('Week2'!$A:$A,$A9,'Week2'!$F:$F)+SUMIF('Week3'!$A:$A,$A9,'Week3'!$F:$F)+SUMIF('Week4'!$A:$A,$A9,'Week4'!$F:$F)</f>
        <v/>
      </c>
      <c r="G9" s="7">
        <f>SUMIF('Week1'!$A:$A,$A9,'Week1'!$G:$G)+SUMIF('Week2'!$A:$A,$A9,'Week2'!$G:$G)+SUMIF('Week3'!$A:$A,$A9,'Week3'!$G:$G)+SUMIF('Week4'!$A:$A,$A9,'Week4'!$G:$G)</f>
        <v/>
      </c>
      <c r="H9" s="7">
        <f>SUMIF('Week1'!$A:$A,$A9,'Week1'!$H:$H)+SUMIF('Week2'!$A:$A,$A9,'Week2'!$H:$H)+SUMIF('Week3'!$A:$A,$A9,'Week3'!$H:$H)+SUMIF('Week4'!$A:$A,$A9,'Week4'!$H:$H)</f>
        <v/>
      </c>
      <c r="I9" s="7">
        <f>SUMIF('Week1'!$A:$A,$A9,'Week1'!$I:$I)+SUMIF('Week2'!$A:$A,$A9,'Week2'!$I:$I)+SUMIF('Week3'!$A:$A,$A9,'Week3'!$I:$I)+SUMIF('Week4'!$A:$A,$A9,'Week4'!$I:$I)</f>
        <v/>
      </c>
      <c r="J9" s="7">
        <f>SUMIF('Week1'!$A:$A,$A9,'Week1'!$J:$J)+SUMIF('Week2'!$A:$A,$A9,'Week2'!$J:$J)+SUMIF('Week3'!$A:$A,$A9,'Week3'!$J:$J)+SUMIF('Week4'!$A:$A,$A9,'Week4'!$J:$J)</f>
        <v/>
      </c>
      <c r="K9" s="7">
        <f>SUMIF('Week1'!$A:$A,$A9,'Week1'!$K:$K)+SUMIF('Week2'!$A:$A,$A9,'Week2'!$K:$K)+SUMIF('Week3'!$A:$A,$A9,'Week3'!$K:$K)+SUMIF('Week4'!$A:$A,$A9,'Week4'!$K:$K)</f>
        <v/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7">
        <f>SUMIF('Week1'!$A:$A,$A10,'Week1'!$D:$D)+SUMIF('Week2'!$A:$A,$A10,'Week2'!$D:$D)+SUMIF('Week3'!$A:$A,$A10,'Week3'!$D:$D)+SUMIF('Week4'!$A:$A,$A10,'Week4'!$D:$D)</f>
        <v/>
      </c>
      <c r="E10" s="7">
        <f>SUMIF('Week1'!$A:$A,$A10,'Week1'!$E:$E)+SUMIF('Week2'!$A:$A,$A10,'Week2'!$E:$E)+SUMIF('Week3'!$A:$A,$A10,'Week3'!$E:$E)+SUMIF('Week4'!$A:$A,$A10,'Week4'!$E:$E)</f>
        <v/>
      </c>
      <c r="F10" s="7">
        <f>SUMIF('Week1'!$A:$A,$A10,'Week1'!$F:$F)+SUMIF('Week2'!$A:$A,$A10,'Week2'!$F:$F)+SUMIF('Week3'!$A:$A,$A10,'Week3'!$F:$F)+SUMIF('Week4'!$A:$A,$A10,'Week4'!$F:$F)</f>
        <v/>
      </c>
      <c r="G10" s="7">
        <f>SUMIF('Week1'!$A:$A,$A10,'Week1'!$G:$G)+SUMIF('Week2'!$A:$A,$A10,'Week2'!$G:$G)+SUMIF('Week3'!$A:$A,$A10,'Week3'!$G:$G)+SUMIF('Week4'!$A:$A,$A10,'Week4'!$G:$G)</f>
        <v/>
      </c>
      <c r="H10" s="7">
        <f>SUMIF('Week1'!$A:$A,$A10,'Week1'!$H:$H)+SUMIF('Week2'!$A:$A,$A10,'Week2'!$H:$H)+SUMIF('Week3'!$A:$A,$A10,'Week3'!$H:$H)+SUMIF('Week4'!$A:$A,$A10,'Week4'!$H:$H)</f>
        <v/>
      </c>
      <c r="I10" s="7">
        <f>SUMIF('Week1'!$A:$A,$A10,'Week1'!$I:$I)+SUMIF('Week2'!$A:$A,$A10,'Week2'!$I:$I)+SUMIF('Week3'!$A:$A,$A10,'Week3'!$I:$I)+SUMIF('Week4'!$A:$A,$A10,'Week4'!$I:$I)</f>
        <v/>
      </c>
      <c r="J10" s="7">
        <f>SUMIF('Week1'!$A:$A,$A10,'Week1'!$J:$J)+SUMIF('Week2'!$A:$A,$A10,'Week2'!$J:$J)+SUMIF('Week3'!$A:$A,$A10,'Week3'!$J:$J)+SUMIF('Week4'!$A:$A,$A10,'Week4'!$J:$J)</f>
        <v/>
      </c>
      <c r="K10" s="7">
        <f>SUMIF('Week1'!$A:$A,$A10,'Week1'!$K:$K)+SUMIF('Week2'!$A:$A,$A10,'Week2'!$K:$K)+SUMIF('Week3'!$A:$A,$A10,'Week3'!$K:$K)+SUMIF('Week4'!$A:$A,$A10,'Week4'!$K:$K)</f>
        <v/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7">
        <f>SUMIF('Week1'!$A:$A,$A11,'Week1'!$D:$D)+SUMIF('Week2'!$A:$A,$A11,'Week2'!$D:$D)+SUMIF('Week3'!$A:$A,$A11,'Week3'!$D:$D)+SUMIF('Week4'!$A:$A,$A11,'Week4'!$D:$D)</f>
        <v/>
      </c>
      <c r="E11" s="7">
        <f>SUMIF('Week1'!$A:$A,$A11,'Week1'!$E:$E)+SUMIF('Week2'!$A:$A,$A11,'Week2'!$E:$E)+SUMIF('Week3'!$A:$A,$A11,'Week3'!$E:$E)+SUMIF('Week4'!$A:$A,$A11,'Week4'!$E:$E)</f>
        <v/>
      </c>
      <c r="F11" s="7">
        <f>SUMIF('Week1'!$A:$A,$A11,'Week1'!$F:$F)+SUMIF('Week2'!$A:$A,$A11,'Week2'!$F:$F)+SUMIF('Week3'!$A:$A,$A11,'Week3'!$F:$F)+SUMIF('Week4'!$A:$A,$A11,'Week4'!$F:$F)</f>
        <v/>
      </c>
      <c r="G11" s="7">
        <f>SUMIF('Week1'!$A:$A,$A11,'Week1'!$G:$G)+SUMIF('Week2'!$A:$A,$A11,'Week2'!$G:$G)+SUMIF('Week3'!$A:$A,$A11,'Week3'!$G:$G)+SUMIF('Week4'!$A:$A,$A11,'Week4'!$G:$G)</f>
        <v/>
      </c>
      <c r="H11" s="7">
        <f>SUMIF('Week1'!$A:$A,$A11,'Week1'!$H:$H)+SUMIF('Week2'!$A:$A,$A11,'Week2'!$H:$H)+SUMIF('Week3'!$A:$A,$A11,'Week3'!$H:$H)+SUMIF('Week4'!$A:$A,$A11,'Week4'!$H:$H)</f>
        <v/>
      </c>
      <c r="I11" s="7">
        <f>SUMIF('Week1'!$A:$A,$A11,'Week1'!$I:$I)+SUMIF('Week2'!$A:$A,$A11,'Week2'!$I:$I)+SUMIF('Week3'!$A:$A,$A11,'Week3'!$I:$I)+SUMIF('Week4'!$A:$A,$A11,'Week4'!$I:$I)</f>
        <v/>
      </c>
      <c r="J11" s="7">
        <f>SUMIF('Week1'!$A:$A,$A11,'Week1'!$J:$J)+SUMIF('Week2'!$A:$A,$A11,'Week2'!$J:$J)+SUMIF('Week3'!$A:$A,$A11,'Week3'!$J:$J)+SUMIF('Week4'!$A:$A,$A11,'Week4'!$J:$J)</f>
        <v/>
      </c>
      <c r="K11" s="7">
        <f>SUMIF('Week1'!$A:$A,$A11,'Week1'!$K:$K)+SUMIF('Week2'!$A:$A,$A11,'Week2'!$K:$K)+SUMIF('Week3'!$A:$A,$A11,'Week3'!$K:$K)+SUMIF('Week4'!$A:$A,$A11,'Week4'!$K:$K)</f>
        <v/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7">
        <f>SUMIF('Week1'!$A:$A,$A12,'Week1'!$D:$D)+SUMIF('Week2'!$A:$A,$A12,'Week2'!$D:$D)+SUMIF('Week3'!$A:$A,$A12,'Week3'!$D:$D)+SUMIF('Week4'!$A:$A,$A12,'Week4'!$D:$D)</f>
        <v/>
      </c>
      <c r="E12" s="7">
        <f>SUMIF('Week1'!$A:$A,$A12,'Week1'!$E:$E)+SUMIF('Week2'!$A:$A,$A12,'Week2'!$E:$E)+SUMIF('Week3'!$A:$A,$A12,'Week3'!$E:$E)+SUMIF('Week4'!$A:$A,$A12,'Week4'!$E:$E)</f>
        <v/>
      </c>
      <c r="F12" s="7">
        <f>SUMIF('Week1'!$A:$A,$A12,'Week1'!$F:$F)+SUMIF('Week2'!$A:$A,$A12,'Week2'!$F:$F)+SUMIF('Week3'!$A:$A,$A12,'Week3'!$F:$F)+SUMIF('Week4'!$A:$A,$A12,'Week4'!$F:$F)</f>
        <v/>
      </c>
      <c r="G12" s="7">
        <f>SUMIF('Week1'!$A:$A,$A12,'Week1'!$G:$G)+SUMIF('Week2'!$A:$A,$A12,'Week2'!$G:$G)+SUMIF('Week3'!$A:$A,$A12,'Week3'!$G:$G)+SUMIF('Week4'!$A:$A,$A12,'Week4'!$G:$G)</f>
        <v/>
      </c>
      <c r="H12" s="7">
        <f>SUMIF('Week1'!$A:$A,$A12,'Week1'!$H:$H)+SUMIF('Week2'!$A:$A,$A12,'Week2'!$H:$H)+SUMIF('Week3'!$A:$A,$A12,'Week3'!$H:$H)+SUMIF('Week4'!$A:$A,$A12,'Week4'!$H:$H)</f>
        <v/>
      </c>
      <c r="I12" s="7">
        <f>SUMIF('Week1'!$A:$A,$A12,'Week1'!$I:$I)+SUMIF('Week2'!$A:$A,$A12,'Week2'!$I:$I)+SUMIF('Week3'!$A:$A,$A12,'Week3'!$I:$I)+SUMIF('Week4'!$A:$A,$A12,'Week4'!$I:$I)</f>
        <v/>
      </c>
      <c r="J12" s="7">
        <f>SUMIF('Week1'!$A:$A,$A12,'Week1'!$J:$J)+SUMIF('Week2'!$A:$A,$A12,'Week2'!$J:$J)+SUMIF('Week3'!$A:$A,$A12,'Week3'!$J:$J)+SUMIF('Week4'!$A:$A,$A12,'Week4'!$J:$J)</f>
        <v/>
      </c>
      <c r="K12" s="7">
        <f>SUMIF('Week1'!$A:$A,$A12,'Week1'!$K:$K)+SUMIF('Week2'!$A:$A,$A12,'Week2'!$K:$K)+SUMIF('Week3'!$A:$A,$A12,'Week3'!$K:$K)+SUMIF('Week4'!$A:$A,$A12,'Week4'!$K:$K)</f>
        <v/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7">
        <f>SUMIF('Week1'!$A:$A,$A13,'Week1'!$D:$D)+SUMIF('Week2'!$A:$A,$A13,'Week2'!$D:$D)+SUMIF('Week3'!$A:$A,$A13,'Week3'!$D:$D)+SUMIF('Week4'!$A:$A,$A13,'Week4'!$D:$D)</f>
        <v/>
      </c>
      <c r="E13" s="7">
        <f>SUMIF('Week1'!$A:$A,$A13,'Week1'!$E:$E)+SUMIF('Week2'!$A:$A,$A13,'Week2'!$E:$E)+SUMIF('Week3'!$A:$A,$A13,'Week3'!$E:$E)+SUMIF('Week4'!$A:$A,$A13,'Week4'!$E:$E)</f>
        <v/>
      </c>
      <c r="F13" s="7">
        <f>SUMIF('Week1'!$A:$A,$A13,'Week1'!$F:$F)+SUMIF('Week2'!$A:$A,$A13,'Week2'!$F:$F)+SUMIF('Week3'!$A:$A,$A13,'Week3'!$F:$F)+SUMIF('Week4'!$A:$A,$A13,'Week4'!$F:$F)</f>
        <v/>
      </c>
      <c r="G13" s="7">
        <f>SUMIF('Week1'!$A:$A,$A13,'Week1'!$G:$G)+SUMIF('Week2'!$A:$A,$A13,'Week2'!$G:$G)+SUMIF('Week3'!$A:$A,$A13,'Week3'!$G:$G)+SUMIF('Week4'!$A:$A,$A13,'Week4'!$G:$G)</f>
        <v/>
      </c>
      <c r="H13" s="7">
        <f>SUMIF('Week1'!$A:$A,$A13,'Week1'!$H:$H)+SUMIF('Week2'!$A:$A,$A13,'Week2'!$H:$H)+SUMIF('Week3'!$A:$A,$A13,'Week3'!$H:$H)+SUMIF('Week4'!$A:$A,$A13,'Week4'!$H:$H)</f>
        <v/>
      </c>
      <c r="I13" s="7">
        <f>SUMIF('Week1'!$A:$A,$A13,'Week1'!$I:$I)+SUMIF('Week2'!$A:$A,$A13,'Week2'!$I:$I)+SUMIF('Week3'!$A:$A,$A13,'Week3'!$I:$I)+SUMIF('Week4'!$A:$A,$A13,'Week4'!$I:$I)</f>
        <v/>
      </c>
      <c r="J13" s="7">
        <f>SUMIF('Week1'!$A:$A,$A13,'Week1'!$J:$J)+SUMIF('Week2'!$A:$A,$A13,'Week2'!$J:$J)+SUMIF('Week3'!$A:$A,$A13,'Week3'!$J:$J)+SUMIF('Week4'!$A:$A,$A13,'Week4'!$J:$J)</f>
        <v/>
      </c>
      <c r="K13" s="7">
        <f>SUMIF('Week1'!$A:$A,$A13,'Week1'!$K:$K)+SUMIF('Week2'!$A:$A,$A13,'Week2'!$K:$K)+SUMIF('Week3'!$A:$A,$A13,'Week3'!$K:$K)+SUMIF('Week4'!$A:$A,$A13,'Week4'!$K:$K)</f>
        <v/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7">
        <f>SUMIF('Week1'!$A:$A,$A14,'Week1'!$D:$D)+SUMIF('Week2'!$A:$A,$A14,'Week2'!$D:$D)+SUMIF('Week3'!$A:$A,$A14,'Week3'!$D:$D)+SUMIF('Week4'!$A:$A,$A14,'Week4'!$D:$D)</f>
        <v/>
      </c>
      <c r="E14" s="7">
        <f>SUMIF('Week1'!$A:$A,$A14,'Week1'!$E:$E)+SUMIF('Week2'!$A:$A,$A14,'Week2'!$E:$E)+SUMIF('Week3'!$A:$A,$A14,'Week3'!$E:$E)+SUMIF('Week4'!$A:$A,$A14,'Week4'!$E:$E)</f>
        <v/>
      </c>
      <c r="F14" s="7">
        <f>SUMIF('Week1'!$A:$A,$A14,'Week1'!$F:$F)+SUMIF('Week2'!$A:$A,$A14,'Week2'!$F:$F)+SUMIF('Week3'!$A:$A,$A14,'Week3'!$F:$F)+SUMIF('Week4'!$A:$A,$A14,'Week4'!$F:$F)</f>
        <v/>
      </c>
      <c r="G14" s="7">
        <f>SUMIF('Week1'!$A:$A,$A14,'Week1'!$G:$G)+SUMIF('Week2'!$A:$A,$A14,'Week2'!$G:$G)+SUMIF('Week3'!$A:$A,$A14,'Week3'!$G:$G)+SUMIF('Week4'!$A:$A,$A14,'Week4'!$G:$G)</f>
        <v/>
      </c>
      <c r="H14" s="7">
        <f>SUMIF('Week1'!$A:$A,$A14,'Week1'!$H:$H)+SUMIF('Week2'!$A:$A,$A14,'Week2'!$H:$H)+SUMIF('Week3'!$A:$A,$A14,'Week3'!$H:$H)+SUMIF('Week4'!$A:$A,$A14,'Week4'!$H:$H)</f>
        <v/>
      </c>
      <c r="I14" s="7">
        <f>SUMIF('Week1'!$A:$A,$A14,'Week1'!$I:$I)+SUMIF('Week2'!$A:$A,$A14,'Week2'!$I:$I)+SUMIF('Week3'!$A:$A,$A14,'Week3'!$I:$I)+SUMIF('Week4'!$A:$A,$A14,'Week4'!$I:$I)</f>
        <v/>
      </c>
      <c r="J14" s="7">
        <f>SUMIF('Week1'!$A:$A,$A14,'Week1'!$J:$J)+SUMIF('Week2'!$A:$A,$A14,'Week2'!$J:$J)+SUMIF('Week3'!$A:$A,$A14,'Week3'!$J:$J)+SUMIF('Week4'!$A:$A,$A14,'Week4'!$J:$J)</f>
        <v/>
      </c>
      <c r="K14" s="7">
        <f>SUMIF('Week1'!$A:$A,$A14,'Week1'!$K:$K)+SUMIF('Week2'!$A:$A,$A14,'Week2'!$K:$K)+SUMIF('Week3'!$A:$A,$A14,'Week3'!$K:$K)+SUMIF('Week4'!$A:$A,$A14,'Week4'!$K:$K)</f>
        <v/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7">
        <f>SUMIF('Week1'!$A:$A,$A15,'Week1'!$D:$D)+SUMIF('Week2'!$A:$A,$A15,'Week2'!$D:$D)+SUMIF('Week3'!$A:$A,$A15,'Week3'!$D:$D)+SUMIF('Week4'!$A:$A,$A15,'Week4'!$D:$D)</f>
        <v/>
      </c>
      <c r="E15" s="7">
        <f>SUMIF('Week1'!$A:$A,$A15,'Week1'!$E:$E)+SUMIF('Week2'!$A:$A,$A15,'Week2'!$E:$E)+SUMIF('Week3'!$A:$A,$A15,'Week3'!$E:$E)+SUMIF('Week4'!$A:$A,$A15,'Week4'!$E:$E)</f>
        <v/>
      </c>
      <c r="F15" s="7">
        <f>SUMIF('Week1'!$A:$A,$A15,'Week1'!$F:$F)+SUMIF('Week2'!$A:$A,$A15,'Week2'!$F:$F)+SUMIF('Week3'!$A:$A,$A15,'Week3'!$F:$F)+SUMIF('Week4'!$A:$A,$A15,'Week4'!$F:$F)</f>
        <v/>
      </c>
      <c r="G15" s="7">
        <f>SUMIF('Week1'!$A:$A,$A15,'Week1'!$G:$G)+SUMIF('Week2'!$A:$A,$A15,'Week2'!$G:$G)+SUMIF('Week3'!$A:$A,$A15,'Week3'!$G:$G)+SUMIF('Week4'!$A:$A,$A15,'Week4'!$G:$G)</f>
        <v/>
      </c>
      <c r="H15" s="7">
        <f>SUMIF('Week1'!$A:$A,$A15,'Week1'!$H:$H)+SUMIF('Week2'!$A:$A,$A15,'Week2'!$H:$H)+SUMIF('Week3'!$A:$A,$A15,'Week3'!$H:$H)+SUMIF('Week4'!$A:$A,$A15,'Week4'!$H:$H)</f>
        <v/>
      </c>
      <c r="I15" s="7">
        <f>SUMIF('Week1'!$A:$A,$A15,'Week1'!$I:$I)+SUMIF('Week2'!$A:$A,$A15,'Week2'!$I:$I)+SUMIF('Week3'!$A:$A,$A15,'Week3'!$I:$I)+SUMIF('Week4'!$A:$A,$A15,'Week4'!$I:$I)</f>
        <v/>
      </c>
      <c r="J15" s="7">
        <f>SUMIF('Week1'!$A:$A,$A15,'Week1'!$J:$J)+SUMIF('Week2'!$A:$A,$A15,'Week2'!$J:$J)+SUMIF('Week3'!$A:$A,$A15,'Week3'!$J:$J)+SUMIF('Week4'!$A:$A,$A15,'Week4'!$J:$J)</f>
        <v/>
      </c>
      <c r="K15" s="7">
        <f>SUMIF('Week1'!$A:$A,$A15,'Week1'!$K:$K)+SUMIF('Week2'!$A:$A,$A15,'Week2'!$K:$K)+SUMIF('Week3'!$A:$A,$A15,'Week3'!$K:$K)+SUMIF('Week4'!$A:$A,$A15,'Week4'!$K:$K)</f>
        <v/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7">
        <f>SUMIF('Week1'!$A:$A,$A16,'Week1'!$D:$D)+SUMIF('Week2'!$A:$A,$A16,'Week2'!$D:$D)+SUMIF('Week3'!$A:$A,$A16,'Week3'!$D:$D)+SUMIF('Week4'!$A:$A,$A16,'Week4'!$D:$D)</f>
        <v/>
      </c>
      <c r="E16" s="7">
        <f>SUMIF('Week1'!$A:$A,$A16,'Week1'!$E:$E)+SUMIF('Week2'!$A:$A,$A16,'Week2'!$E:$E)+SUMIF('Week3'!$A:$A,$A16,'Week3'!$E:$E)+SUMIF('Week4'!$A:$A,$A16,'Week4'!$E:$E)</f>
        <v/>
      </c>
      <c r="F16" s="7">
        <f>SUMIF('Week1'!$A:$A,$A16,'Week1'!$F:$F)+SUMIF('Week2'!$A:$A,$A16,'Week2'!$F:$F)+SUMIF('Week3'!$A:$A,$A16,'Week3'!$F:$F)+SUMIF('Week4'!$A:$A,$A16,'Week4'!$F:$F)</f>
        <v/>
      </c>
      <c r="G16" s="7">
        <f>SUMIF('Week1'!$A:$A,$A16,'Week1'!$G:$G)+SUMIF('Week2'!$A:$A,$A16,'Week2'!$G:$G)+SUMIF('Week3'!$A:$A,$A16,'Week3'!$G:$G)+SUMIF('Week4'!$A:$A,$A16,'Week4'!$G:$G)</f>
        <v/>
      </c>
      <c r="H16" s="7">
        <f>SUMIF('Week1'!$A:$A,$A16,'Week1'!$H:$H)+SUMIF('Week2'!$A:$A,$A16,'Week2'!$H:$H)+SUMIF('Week3'!$A:$A,$A16,'Week3'!$H:$H)+SUMIF('Week4'!$A:$A,$A16,'Week4'!$H:$H)</f>
        <v/>
      </c>
      <c r="I16" s="7">
        <f>SUMIF('Week1'!$A:$A,$A16,'Week1'!$I:$I)+SUMIF('Week2'!$A:$A,$A16,'Week2'!$I:$I)+SUMIF('Week3'!$A:$A,$A16,'Week3'!$I:$I)+SUMIF('Week4'!$A:$A,$A16,'Week4'!$I:$I)</f>
        <v/>
      </c>
      <c r="J16" s="7">
        <f>SUMIF('Week1'!$A:$A,$A16,'Week1'!$J:$J)+SUMIF('Week2'!$A:$A,$A16,'Week2'!$J:$J)+SUMIF('Week3'!$A:$A,$A16,'Week3'!$J:$J)+SUMIF('Week4'!$A:$A,$A16,'Week4'!$J:$J)</f>
        <v/>
      </c>
      <c r="K16" s="7">
        <f>SUMIF('Week1'!$A:$A,$A16,'Week1'!$K:$K)+SUMIF('Week2'!$A:$A,$A16,'Week2'!$K:$K)+SUMIF('Week3'!$A:$A,$A16,'Week3'!$K:$K)+SUMIF('Week4'!$A:$A,$A16,'Week4'!$K:$K)</f>
        <v/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7">
        <f>SUMIF('Week1'!$A:$A,$A17,'Week1'!$D:$D)+SUMIF('Week2'!$A:$A,$A17,'Week2'!$D:$D)+SUMIF('Week3'!$A:$A,$A17,'Week3'!$D:$D)+SUMIF('Week4'!$A:$A,$A17,'Week4'!$D:$D)</f>
        <v/>
      </c>
      <c r="E17" s="7">
        <f>SUMIF('Week1'!$A:$A,$A17,'Week1'!$E:$E)+SUMIF('Week2'!$A:$A,$A17,'Week2'!$E:$E)+SUMIF('Week3'!$A:$A,$A17,'Week3'!$E:$E)+SUMIF('Week4'!$A:$A,$A17,'Week4'!$E:$E)</f>
        <v/>
      </c>
      <c r="F17" s="7">
        <f>SUMIF('Week1'!$A:$A,$A17,'Week1'!$F:$F)+SUMIF('Week2'!$A:$A,$A17,'Week2'!$F:$F)+SUMIF('Week3'!$A:$A,$A17,'Week3'!$F:$F)+SUMIF('Week4'!$A:$A,$A17,'Week4'!$F:$F)</f>
        <v/>
      </c>
      <c r="G17" s="7">
        <f>SUMIF('Week1'!$A:$A,$A17,'Week1'!$G:$G)+SUMIF('Week2'!$A:$A,$A17,'Week2'!$G:$G)+SUMIF('Week3'!$A:$A,$A17,'Week3'!$G:$G)+SUMIF('Week4'!$A:$A,$A17,'Week4'!$G:$G)</f>
        <v/>
      </c>
      <c r="H17" s="7">
        <f>SUMIF('Week1'!$A:$A,$A17,'Week1'!$H:$H)+SUMIF('Week2'!$A:$A,$A17,'Week2'!$H:$H)+SUMIF('Week3'!$A:$A,$A17,'Week3'!$H:$H)+SUMIF('Week4'!$A:$A,$A17,'Week4'!$H:$H)</f>
        <v/>
      </c>
      <c r="I17" s="7">
        <f>SUMIF('Week1'!$A:$A,$A17,'Week1'!$I:$I)+SUMIF('Week2'!$A:$A,$A17,'Week2'!$I:$I)+SUMIF('Week3'!$A:$A,$A17,'Week3'!$I:$I)+SUMIF('Week4'!$A:$A,$A17,'Week4'!$I:$I)</f>
        <v/>
      </c>
      <c r="J17" s="7">
        <f>SUMIF('Week1'!$A:$A,$A17,'Week1'!$J:$J)+SUMIF('Week2'!$A:$A,$A17,'Week2'!$J:$J)+SUMIF('Week3'!$A:$A,$A17,'Week3'!$J:$J)+SUMIF('Week4'!$A:$A,$A17,'Week4'!$J:$J)</f>
        <v/>
      </c>
      <c r="K17" s="7">
        <f>SUMIF('Week1'!$A:$A,$A17,'Week1'!$K:$K)+SUMIF('Week2'!$A:$A,$A17,'Week2'!$K:$K)+SUMIF('Week3'!$A:$A,$A17,'Week3'!$K:$K)+SUMIF('Week4'!$A:$A,$A17,'Week4'!$K:$K)</f>
        <v/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7">
        <f>SUMIF('Week1'!$A:$A,$A18,'Week1'!$D:$D)+SUMIF('Week2'!$A:$A,$A18,'Week2'!$D:$D)+SUMIF('Week3'!$A:$A,$A18,'Week3'!$D:$D)+SUMIF('Week4'!$A:$A,$A18,'Week4'!$D:$D)</f>
        <v/>
      </c>
      <c r="E18" s="7">
        <f>SUMIF('Week1'!$A:$A,$A18,'Week1'!$E:$E)+SUMIF('Week2'!$A:$A,$A18,'Week2'!$E:$E)+SUMIF('Week3'!$A:$A,$A18,'Week3'!$E:$E)+SUMIF('Week4'!$A:$A,$A18,'Week4'!$E:$E)</f>
        <v/>
      </c>
      <c r="F18" s="7">
        <f>SUMIF('Week1'!$A:$A,$A18,'Week1'!$F:$F)+SUMIF('Week2'!$A:$A,$A18,'Week2'!$F:$F)+SUMIF('Week3'!$A:$A,$A18,'Week3'!$F:$F)+SUMIF('Week4'!$A:$A,$A18,'Week4'!$F:$F)</f>
        <v/>
      </c>
      <c r="G18" s="7">
        <f>SUMIF('Week1'!$A:$A,$A18,'Week1'!$G:$G)+SUMIF('Week2'!$A:$A,$A18,'Week2'!$G:$G)+SUMIF('Week3'!$A:$A,$A18,'Week3'!$G:$G)+SUMIF('Week4'!$A:$A,$A18,'Week4'!$G:$G)</f>
        <v/>
      </c>
      <c r="H18" s="7">
        <f>SUMIF('Week1'!$A:$A,$A18,'Week1'!$H:$H)+SUMIF('Week2'!$A:$A,$A18,'Week2'!$H:$H)+SUMIF('Week3'!$A:$A,$A18,'Week3'!$H:$H)+SUMIF('Week4'!$A:$A,$A18,'Week4'!$H:$H)</f>
        <v/>
      </c>
      <c r="I18" s="7">
        <f>SUMIF('Week1'!$A:$A,$A18,'Week1'!$I:$I)+SUMIF('Week2'!$A:$A,$A18,'Week2'!$I:$I)+SUMIF('Week3'!$A:$A,$A18,'Week3'!$I:$I)+SUMIF('Week4'!$A:$A,$A18,'Week4'!$I:$I)</f>
        <v/>
      </c>
      <c r="J18" s="7">
        <f>SUMIF('Week1'!$A:$A,$A18,'Week1'!$J:$J)+SUMIF('Week2'!$A:$A,$A18,'Week2'!$J:$J)+SUMIF('Week3'!$A:$A,$A18,'Week3'!$J:$J)+SUMIF('Week4'!$A:$A,$A18,'Week4'!$J:$J)</f>
        <v/>
      </c>
      <c r="K18" s="7">
        <f>SUMIF('Week1'!$A:$A,$A18,'Week1'!$K:$K)+SUMIF('Week2'!$A:$A,$A18,'Week2'!$K:$K)+SUMIF('Week3'!$A:$A,$A18,'Week3'!$K:$K)+SUMIF('Week4'!$A:$A,$A18,'Week4'!$K:$K)</f>
        <v/>
      </c>
    </row>
    <row r="19">
      <c r="A19" s="6" t="inlineStr">
        <is>
          <t>RUTIKABEN VADDORIYA EOLL</t>
        </is>
      </c>
      <c r="B19" s="6" t="inlineStr">
        <is>
          <t>A-EL PKNG HIGH_RISK</t>
        </is>
      </c>
      <c r="C19" s="7" t="n">
        <v>1679</v>
      </c>
      <c r="D19" s="7">
        <f>SUMIF('Week1'!$A:$A,$A19,'Week1'!$D:$D)+SUMIF('Week2'!$A:$A,$A19,'Week2'!$D:$D)+SUMIF('Week3'!$A:$A,$A19,'Week3'!$D:$D)+SUMIF('Week4'!$A:$A,$A19,'Week4'!$D:$D)</f>
        <v/>
      </c>
      <c r="E19" s="7">
        <f>SUMIF('Week1'!$A:$A,$A19,'Week1'!$E:$E)+SUMIF('Week2'!$A:$A,$A19,'Week2'!$E:$E)+SUMIF('Week3'!$A:$A,$A19,'Week3'!$E:$E)+SUMIF('Week4'!$A:$A,$A19,'Week4'!$E:$E)</f>
        <v/>
      </c>
      <c r="F19" s="7">
        <f>SUMIF('Week1'!$A:$A,$A19,'Week1'!$F:$F)+SUMIF('Week2'!$A:$A,$A19,'Week2'!$F:$F)+SUMIF('Week3'!$A:$A,$A19,'Week3'!$F:$F)+SUMIF('Week4'!$A:$A,$A19,'Week4'!$F:$F)</f>
        <v/>
      </c>
      <c r="G19" s="7">
        <f>SUMIF('Week1'!$A:$A,$A19,'Week1'!$G:$G)+SUMIF('Week2'!$A:$A,$A19,'Week2'!$G:$G)+SUMIF('Week3'!$A:$A,$A19,'Week3'!$G:$G)+SUMIF('Week4'!$A:$A,$A19,'Week4'!$G:$G)</f>
        <v/>
      </c>
      <c r="H19" s="7">
        <f>SUMIF('Week1'!$A:$A,$A19,'Week1'!$H:$H)+SUMIF('Week2'!$A:$A,$A19,'Week2'!$H:$H)+SUMIF('Week3'!$A:$A,$A19,'Week3'!$H:$H)+SUMIF('Week4'!$A:$A,$A19,'Week4'!$H:$H)</f>
        <v/>
      </c>
      <c r="I19" s="7">
        <f>SUMIF('Week1'!$A:$A,$A19,'Week1'!$I:$I)+SUMIF('Week2'!$A:$A,$A19,'Week2'!$I:$I)+SUMIF('Week3'!$A:$A,$A19,'Week3'!$I:$I)+SUMIF('Week4'!$A:$A,$A19,'Week4'!$I:$I)</f>
        <v/>
      </c>
      <c r="J19" s="7">
        <f>SUMIF('Week1'!$A:$A,$A19,'Week1'!$J:$J)+SUMIF('Week2'!$A:$A,$A19,'Week2'!$J:$J)+SUMIF('Week3'!$A:$A,$A19,'Week3'!$J:$J)+SUMIF('Week4'!$A:$A,$A19,'Week4'!$J:$J)</f>
        <v/>
      </c>
      <c r="K19" s="7">
        <f>SUMIF('Week1'!$A:$A,$A19,'Week1'!$K:$K)+SUMIF('Week2'!$A:$A,$A19,'Week2'!$K:$K)+SUMIF('Week3'!$A:$A,$A19,'Week3'!$K:$K)+SUMIF('Week4'!$A:$A,$A19,'Week4'!$K:$K)</f>
        <v/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7">
        <f>SUMIF('Week1'!$A:$A,$A20,'Week1'!$D:$D)+SUMIF('Week2'!$A:$A,$A20,'Week2'!$D:$D)+SUMIF('Week3'!$A:$A,$A20,'Week3'!$D:$D)+SUMIF('Week4'!$A:$A,$A20,'Week4'!$D:$D)</f>
        <v/>
      </c>
      <c r="E20" s="7">
        <f>SUMIF('Week1'!$A:$A,$A20,'Week1'!$E:$E)+SUMIF('Week2'!$A:$A,$A20,'Week2'!$E:$E)+SUMIF('Week3'!$A:$A,$A20,'Week3'!$E:$E)+SUMIF('Week4'!$A:$A,$A20,'Week4'!$E:$E)</f>
        <v/>
      </c>
      <c r="F20" s="7">
        <f>SUMIF('Week1'!$A:$A,$A20,'Week1'!$F:$F)+SUMIF('Week2'!$A:$A,$A20,'Week2'!$F:$F)+SUMIF('Week3'!$A:$A,$A20,'Week3'!$F:$F)+SUMIF('Week4'!$A:$A,$A20,'Week4'!$F:$F)</f>
        <v/>
      </c>
      <c r="G20" s="7">
        <f>SUMIF('Week1'!$A:$A,$A20,'Week1'!$G:$G)+SUMIF('Week2'!$A:$A,$A20,'Week2'!$G:$G)+SUMIF('Week3'!$A:$A,$A20,'Week3'!$G:$G)+SUMIF('Week4'!$A:$A,$A20,'Week4'!$G:$G)</f>
        <v/>
      </c>
      <c r="H20" s="7">
        <f>SUMIF('Week1'!$A:$A,$A20,'Week1'!$H:$H)+SUMIF('Week2'!$A:$A,$A20,'Week2'!$H:$H)+SUMIF('Week3'!$A:$A,$A20,'Week3'!$H:$H)+SUMIF('Week4'!$A:$A,$A20,'Week4'!$H:$H)</f>
        <v/>
      </c>
      <c r="I20" s="7">
        <f>SUMIF('Week1'!$A:$A,$A20,'Week1'!$I:$I)+SUMIF('Week2'!$A:$A,$A20,'Week2'!$I:$I)+SUMIF('Week3'!$A:$A,$A20,'Week3'!$I:$I)+SUMIF('Week4'!$A:$A,$A20,'Week4'!$I:$I)</f>
        <v/>
      </c>
      <c r="J20" s="7">
        <f>SUMIF('Week1'!$A:$A,$A20,'Week1'!$J:$J)+SUMIF('Week2'!$A:$A,$A20,'Week2'!$J:$J)+SUMIF('Week3'!$A:$A,$A20,'Week3'!$J:$J)+SUMIF('Week4'!$A:$A,$A20,'Week4'!$J:$J)</f>
        <v/>
      </c>
      <c r="K20" s="7">
        <f>SUMIF('Week1'!$A:$A,$A20,'Week1'!$K:$K)+SUMIF('Week2'!$A:$A,$A20,'Week2'!$K:$K)+SUMIF('Week3'!$A:$A,$A20,'Week3'!$K:$K)+SUMIF('Week4'!$A:$A,$A20,'Week4'!$K:$K)</f>
        <v/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7">
        <f>SUMIF('Week1'!$A:$A,$A21,'Week1'!$D:$D)+SUMIF('Week2'!$A:$A,$A21,'Week2'!$D:$D)+SUMIF('Week3'!$A:$A,$A21,'Week3'!$D:$D)+SUMIF('Week4'!$A:$A,$A21,'Week4'!$D:$D)</f>
        <v/>
      </c>
      <c r="E21" s="7">
        <f>SUMIF('Week1'!$A:$A,$A21,'Week1'!$E:$E)+SUMIF('Week2'!$A:$A,$A21,'Week2'!$E:$E)+SUMIF('Week3'!$A:$A,$A21,'Week3'!$E:$E)+SUMIF('Week4'!$A:$A,$A21,'Week4'!$E:$E)</f>
        <v/>
      </c>
      <c r="F21" s="7">
        <f>SUMIF('Week1'!$A:$A,$A21,'Week1'!$F:$F)+SUMIF('Week2'!$A:$A,$A21,'Week2'!$F:$F)+SUMIF('Week3'!$A:$A,$A21,'Week3'!$F:$F)+SUMIF('Week4'!$A:$A,$A21,'Week4'!$F:$F)</f>
        <v/>
      </c>
      <c r="G21" s="7">
        <f>SUMIF('Week1'!$A:$A,$A21,'Week1'!$G:$G)+SUMIF('Week2'!$A:$A,$A21,'Week2'!$G:$G)+SUMIF('Week3'!$A:$A,$A21,'Week3'!$G:$G)+SUMIF('Week4'!$A:$A,$A21,'Week4'!$G:$G)</f>
        <v/>
      </c>
      <c r="H21" s="7">
        <f>SUMIF('Week1'!$A:$A,$A21,'Week1'!$H:$H)+SUMIF('Week2'!$A:$A,$A21,'Week2'!$H:$H)+SUMIF('Week3'!$A:$A,$A21,'Week3'!$H:$H)+SUMIF('Week4'!$A:$A,$A21,'Week4'!$H:$H)</f>
        <v/>
      </c>
      <c r="I21" s="7">
        <f>SUMIF('Week1'!$A:$A,$A21,'Week1'!$I:$I)+SUMIF('Week2'!$A:$A,$A21,'Week2'!$I:$I)+SUMIF('Week3'!$A:$A,$A21,'Week3'!$I:$I)+SUMIF('Week4'!$A:$A,$A21,'Week4'!$I:$I)</f>
        <v/>
      </c>
      <c r="J21" s="7">
        <f>SUMIF('Week1'!$A:$A,$A21,'Week1'!$J:$J)+SUMIF('Week2'!$A:$A,$A21,'Week2'!$J:$J)+SUMIF('Week3'!$A:$A,$A21,'Week3'!$J:$J)+SUMIF('Week4'!$A:$A,$A21,'Week4'!$J:$J)</f>
        <v/>
      </c>
      <c r="K21" s="7">
        <f>SUMIF('Week1'!$A:$A,$A21,'Week1'!$K:$K)+SUMIF('Week2'!$A:$A,$A21,'Week2'!$K:$K)+SUMIF('Week3'!$A:$A,$A21,'Week3'!$K:$K)+SUMIF('Week4'!$A:$A,$A21,'Week4'!$K:$K)</f>
        <v/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7">
        <f>SUMIF('Week1'!$A:$A,$A22,'Week1'!$D:$D)+SUMIF('Week2'!$A:$A,$A22,'Week2'!$D:$D)+SUMIF('Week3'!$A:$A,$A22,'Week3'!$D:$D)+SUMIF('Week4'!$A:$A,$A22,'Week4'!$D:$D)</f>
        <v/>
      </c>
      <c r="E22" s="7">
        <f>SUMIF('Week1'!$A:$A,$A22,'Week1'!$E:$E)+SUMIF('Week2'!$A:$A,$A22,'Week2'!$E:$E)+SUMIF('Week3'!$A:$A,$A22,'Week3'!$E:$E)+SUMIF('Week4'!$A:$A,$A22,'Week4'!$E:$E)</f>
        <v/>
      </c>
      <c r="F22" s="7">
        <f>SUMIF('Week1'!$A:$A,$A22,'Week1'!$F:$F)+SUMIF('Week2'!$A:$A,$A22,'Week2'!$F:$F)+SUMIF('Week3'!$A:$A,$A22,'Week3'!$F:$F)+SUMIF('Week4'!$A:$A,$A22,'Week4'!$F:$F)</f>
        <v/>
      </c>
      <c r="G22" s="7">
        <f>SUMIF('Week1'!$A:$A,$A22,'Week1'!$G:$G)+SUMIF('Week2'!$A:$A,$A22,'Week2'!$G:$G)+SUMIF('Week3'!$A:$A,$A22,'Week3'!$G:$G)+SUMIF('Week4'!$A:$A,$A22,'Week4'!$G:$G)</f>
        <v/>
      </c>
      <c r="H22" s="7">
        <f>SUMIF('Week1'!$A:$A,$A22,'Week1'!$H:$H)+SUMIF('Week2'!$A:$A,$A22,'Week2'!$H:$H)+SUMIF('Week3'!$A:$A,$A22,'Week3'!$H:$H)+SUMIF('Week4'!$A:$A,$A22,'Week4'!$H:$H)</f>
        <v/>
      </c>
      <c r="I22" s="7">
        <f>SUMIF('Week1'!$A:$A,$A22,'Week1'!$I:$I)+SUMIF('Week2'!$A:$A,$A22,'Week2'!$I:$I)+SUMIF('Week3'!$A:$A,$A22,'Week3'!$I:$I)+SUMIF('Week4'!$A:$A,$A22,'Week4'!$I:$I)</f>
        <v/>
      </c>
      <c r="J22" s="7">
        <f>SUMIF('Week1'!$A:$A,$A22,'Week1'!$J:$J)+SUMIF('Week2'!$A:$A,$A22,'Week2'!$J:$J)+SUMIF('Week3'!$A:$A,$A22,'Week3'!$J:$J)+SUMIF('Week4'!$A:$A,$A22,'Week4'!$J:$J)</f>
        <v/>
      </c>
      <c r="K22" s="7">
        <f>SUMIF('Week1'!$A:$A,$A22,'Week1'!$K:$K)+SUMIF('Week2'!$A:$A,$A22,'Week2'!$K:$K)+SUMIF('Week3'!$A:$A,$A22,'Week3'!$K:$K)+SUMIF('Week4'!$A:$A,$A22,'Week4'!$K:$K)</f>
        <v/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7">
        <f>SUMIF('Week1'!$A:$A,$A23,'Week1'!$D:$D)+SUMIF('Week2'!$A:$A,$A23,'Week2'!$D:$D)+SUMIF('Week3'!$A:$A,$A23,'Week3'!$D:$D)+SUMIF('Week4'!$A:$A,$A23,'Week4'!$D:$D)</f>
        <v/>
      </c>
      <c r="E23" s="7">
        <f>SUMIF('Week1'!$A:$A,$A23,'Week1'!$E:$E)+SUMIF('Week2'!$A:$A,$A23,'Week2'!$E:$E)+SUMIF('Week3'!$A:$A,$A23,'Week3'!$E:$E)+SUMIF('Week4'!$A:$A,$A23,'Week4'!$E:$E)</f>
        <v/>
      </c>
      <c r="F23" s="7">
        <f>SUMIF('Week1'!$A:$A,$A23,'Week1'!$F:$F)+SUMIF('Week2'!$A:$A,$A23,'Week2'!$F:$F)+SUMIF('Week3'!$A:$A,$A23,'Week3'!$F:$F)+SUMIF('Week4'!$A:$A,$A23,'Week4'!$F:$F)</f>
        <v/>
      </c>
      <c r="G23" s="7">
        <f>SUMIF('Week1'!$A:$A,$A23,'Week1'!$G:$G)+SUMIF('Week2'!$A:$A,$A23,'Week2'!$G:$G)+SUMIF('Week3'!$A:$A,$A23,'Week3'!$G:$G)+SUMIF('Week4'!$A:$A,$A23,'Week4'!$G:$G)</f>
        <v/>
      </c>
      <c r="H23" s="7">
        <f>SUMIF('Week1'!$A:$A,$A23,'Week1'!$H:$H)+SUMIF('Week2'!$A:$A,$A23,'Week2'!$H:$H)+SUMIF('Week3'!$A:$A,$A23,'Week3'!$H:$H)+SUMIF('Week4'!$A:$A,$A23,'Week4'!$H:$H)</f>
        <v/>
      </c>
      <c r="I23" s="7">
        <f>SUMIF('Week1'!$A:$A,$A23,'Week1'!$I:$I)+SUMIF('Week2'!$A:$A,$A23,'Week2'!$I:$I)+SUMIF('Week3'!$A:$A,$A23,'Week3'!$I:$I)+SUMIF('Week4'!$A:$A,$A23,'Week4'!$I:$I)</f>
        <v/>
      </c>
      <c r="J23" s="7">
        <f>SUMIF('Week1'!$A:$A,$A23,'Week1'!$J:$J)+SUMIF('Week2'!$A:$A,$A23,'Week2'!$J:$J)+SUMIF('Week3'!$A:$A,$A23,'Week3'!$J:$J)+SUMIF('Week4'!$A:$A,$A23,'Week4'!$J:$J)</f>
        <v/>
      </c>
      <c r="K23" s="7">
        <f>SUMIF('Week1'!$A:$A,$A23,'Week1'!$K:$K)+SUMIF('Week2'!$A:$A,$A23,'Week2'!$K:$K)+SUMIF('Week3'!$A:$A,$A23,'Week3'!$K:$K)+SUMIF('Week4'!$A:$A,$A23,'Week4'!$K:$K)</f>
        <v/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7">
        <f>SUMIF('Week1'!$A:$A,$A24,'Week1'!$D:$D)+SUMIF('Week2'!$A:$A,$A24,'Week2'!$D:$D)+SUMIF('Week3'!$A:$A,$A24,'Week3'!$D:$D)+SUMIF('Week4'!$A:$A,$A24,'Week4'!$D:$D)</f>
        <v/>
      </c>
      <c r="E24" s="7">
        <f>SUMIF('Week1'!$A:$A,$A24,'Week1'!$E:$E)+SUMIF('Week2'!$A:$A,$A24,'Week2'!$E:$E)+SUMIF('Week3'!$A:$A,$A24,'Week3'!$E:$E)+SUMIF('Week4'!$A:$A,$A24,'Week4'!$E:$E)</f>
        <v/>
      </c>
      <c r="F24" s="7">
        <f>SUMIF('Week1'!$A:$A,$A24,'Week1'!$F:$F)+SUMIF('Week2'!$A:$A,$A24,'Week2'!$F:$F)+SUMIF('Week3'!$A:$A,$A24,'Week3'!$F:$F)+SUMIF('Week4'!$A:$A,$A24,'Week4'!$F:$F)</f>
        <v/>
      </c>
      <c r="G24" s="7">
        <f>SUMIF('Week1'!$A:$A,$A24,'Week1'!$G:$G)+SUMIF('Week2'!$A:$A,$A24,'Week2'!$G:$G)+SUMIF('Week3'!$A:$A,$A24,'Week3'!$G:$G)+SUMIF('Week4'!$A:$A,$A24,'Week4'!$G:$G)</f>
        <v/>
      </c>
      <c r="H24" s="7">
        <f>SUMIF('Week1'!$A:$A,$A24,'Week1'!$H:$H)+SUMIF('Week2'!$A:$A,$A24,'Week2'!$H:$H)+SUMIF('Week3'!$A:$A,$A24,'Week3'!$H:$H)+SUMIF('Week4'!$A:$A,$A24,'Week4'!$H:$H)</f>
        <v/>
      </c>
      <c r="I24" s="7">
        <f>SUMIF('Week1'!$A:$A,$A24,'Week1'!$I:$I)+SUMIF('Week2'!$A:$A,$A24,'Week2'!$I:$I)+SUMIF('Week3'!$A:$A,$A24,'Week3'!$I:$I)+SUMIF('Week4'!$A:$A,$A24,'Week4'!$I:$I)</f>
        <v/>
      </c>
      <c r="J24" s="7">
        <f>SUMIF('Week1'!$A:$A,$A24,'Week1'!$J:$J)+SUMIF('Week2'!$A:$A,$A24,'Week2'!$J:$J)+SUMIF('Week3'!$A:$A,$A24,'Week3'!$J:$J)+SUMIF('Week4'!$A:$A,$A24,'Week4'!$J:$J)</f>
        <v/>
      </c>
      <c r="K24" s="7">
        <f>SUMIF('Week1'!$A:$A,$A24,'Week1'!$K:$K)+SUMIF('Week2'!$A:$A,$A24,'Week2'!$K:$K)+SUMIF('Week3'!$A:$A,$A24,'Week3'!$K:$K)+SUMIF('Week4'!$A:$A,$A24,'Week4'!$K:$K)</f>
        <v/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7">
        <f>SUMIF('Week1'!$A:$A,$A25,'Week1'!$D:$D)+SUMIF('Week2'!$A:$A,$A25,'Week2'!$D:$D)+SUMIF('Week3'!$A:$A,$A25,'Week3'!$D:$D)+SUMIF('Week4'!$A:$A,$A25,'Week4'!$D:$D)</f>
        <v/>
      </c>
      <c r="E25" s="7">
        <f>SUMIF('Week1'!$A:$A,$A25,'Week1'!$E:$E)+SUMIF('Week2'!$A:$A,$A25,'Week2'!$E:$E)+SUMIF('Week3'!$A:$A,$A25,'Week3'!$E:$E)+SUMIF('Week4'!$A:$A,$A25,'Week4'!$E:$E)</f>
        <v/>
      </c>
      <c r="F25" s="7">
        <f>SUMIF('Week1'!$A:$A,$A25,'Week1'!$F:$F)+SUMIF('Week2'!$A:$A,$A25,'Week2'!$F:$F)+SUMIF('Week3'!$A:$A,$A25,'Week3'!$F:$F)+SUMIF('Week4'!$A:$A,$A25,'Week4'!$F:$F)</f>
        <v/>
      </c>
      <c r="G25" s="7">
        <f>SUMIF('Week1'!$A:$A,$A25,'Week1'!$G:$G)+SUMIF('Week2'!$A:$A,$A25,'Week2'!$G:$G)+SUMIF('Week3'!$A:$A,$A25,'Week3'!$G:$G)+SUMIF('Week4'!$A:$A,$A25,'Week4'!$G:$G)</f>
        <v/>
      </c>
      <c r="H25" s="7">
        <f>SUMIF('Week1'!$A:$A,$A25,'Week1'!$H:$H)+SUMIF('Week2'!$A:$A,$A25,'Week2'!$H:$H)+SUMIF('Week3'!$A:$A,$A25,'Week3'!$H:$H)+SUMIF('Week4'!$A:$A,$A25,'Week4'!$H:$H)</f>
        <v/>
      </c>
      <c r="I25" s="7">
        <f>SUMIF('Week1'!$A:$A,$A25,'Week1'!$I:$I)+SUMIF('Week2'!$A:$A,$A25,'Week2'!$I:$I)+SUMIF('Week3'!$A:$A,$A25,'Week3'!$I:$I)+SUMIF('Week4'!$A:$A,$A25,'Week4'!$I:$I)</f>
        <v/>
      </c>
      <c r="J25" s="7">
        <f>SUMIF('Week1'!$A:$A,$A25,'Week1'!$J:$J)+SUMIF('Week2'!$A:$A,$A25,'Week2'!$J:$J)+SUMIF('Week3'!$A:$A,$A25,'Week3'!$J:$J)+SUMIF('Week4'!$A:$A,$A25,'Week4'!$J:$J)</f>
        <v/>
      </c>
      <c r="K25" s="7">
        <f>SUMIF('Week1'!$A:$A,$A25,'Week1'!$K:$K)+SUMIF('Week2'!$A:$A,$A25,'Week2'!$K:$K)+SUMIF('Week3'!$A:$A,$A25,'Week3'!$K:$K)+SUMIF('Week4'!$A:$A,$A25,'Week4'!$K:$K)</f>
        <v/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7">
        <f>SUMIF('Week1'!$A:$A,$A26,'Week1'!$D:$D)+SUMIF('Week2'!$A:$A,$A26,'Week2'!$D:$D)+SUMIF('Week3'!$A:$A,$A26,'Week3'!$D:$D)+SUMIF('Week4'!$A:$A,$A26,'Week4'!$D:$D)</f>
        <v/>
      </c>
      <c r="E26" s="7">
        <f>SUMIF('Week1'!$A:$A,$A26,'Week1'!$E:$E)+SUMIF('Week2'!$A:$A,$A26,'Week2'!$E:$E)+SUMIF('Week3'!$A:$A,$A26,'Week3'!$E:$E)+SUMIF('Week4'!$A:$A,$A26,'Week4'!$E:$E)</f>
        <v/>
      </c>
      <c r="F26" s="7">
        <f>SUMIF('Week1'!$A:$A,$A26,'Week1'!$F:$F)+SUMIF('Week2'!$A:$A,$A26,'Week2'!$F:$F)+SUMIF('Week3'!$A:$A,$A26,'Week3'!$F:$F)+SUMIF('Week4'!$A:$A,$A26,'Week4'!$F:$F)</f>
        <v/>
      </c>
      <c r="G26" s="7">
        <f>SUMIF('Week1'!$A:$A,$A26,'Week1'!$G:$G)+SUMIF('Week2'!$A:$A,$A26,'Week2'!$G:$G)+SUMIF('Week3'!$A:$A,$A26,'Week3'!$G:$G)+SUMIF('Week4'!$A:$A,$A26,'Week4'!$G:$G)</f>
        <v/>
      </c>
      <c r="H26" s="7">
        <f>SUMIF('Week1'!$A:$A,$A26,'Week1'!$H:$H)+SUMIF('Week2'!$A:$A,$A26,'Week2'!$H:$H)+SUMIF('Week3'!$A:$A,$A26,'Week3'!$H:$H)+SUMIF('Week4'!$A:$A,$A26,'Week4'!$H:$H)</f>
        <v/>
      </c>
      <c r="I26" s="7">
        <f>SUMIF('Week1'!$A:$A,$A26,'Week1'!$I:$I)+SUMIF('Week2'!$A:$A,$A26,'Week2'!$I:$I)+SUMIF('Week3'!$A:$A,$A26,'Week3'!$I:$I)+SUMIF('Week4'!$A:$A,$A26,'Week4'!$I:$I)</f>
        <v/>
      </c>
      <c r="J26" s="7">
        <f>SUMIF('Week1'!$A:$A,$A26,'Week1'!$J:$J)+SUMIF('Week2'!$A:$A,$A26,'Week2'!$J:$J)+SUMIF('Week3'!$A:$A,$A26,'Week3'!$J:$J)+SUMIF('Week4'!$A:$A,$A26,'Week4'!$J:$J)</f>
        <v/>
      </c>
      <c r="K26" s="7">
        <f>SUMIF('Week1'!$A:$A,$A26,'Week1'!$K:$K)+SUMIF('Week2'!$A:$A,$A26,'Week2'!$K:$K)+SUMIF('Week3'!$A:$A,$A26,'Week3'!$K:$K)+SUMIF('Week4'!$A:$A,$A26,'Week4'!$K:$K)</f>
        <v/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7">
        <f>SUMIF('Week1'!$A:$A,$A27,'Week1'!$D:$D)+SUMIF('Week2'!$A:$A,$A27,'Week2'!$D:$D)+SUMIF('Week3'!$A:$A,$A27,'Week3'!$D:$D)+SUMIF('Week4'!$A:$A,$A27,'Week4'!$D:$D)</f>
        <v/>
      </c>
      <c r="E27" s="7">
        <f>SUMIF('Week1'!$A:$A,$A27,'Week1'!$E:$E)+SUMIF('Week2'!$A:$A,$A27,'Week2'!$E:$E)+SUMIF('Week3'!$A:$A,$A27,'Week3'!$E:$E)+SUMIF('Week4'!$A:$A,$A27,'Week4'!$E:$E)</f>
        <v/>
      </c>
      <c r="F27" s="7">
        <f>SUMIF('Week1'!$A:$A,$A27,'Week1'!$F:$F)+SUMIF('Week2'!$A:$A,$A27,'Week2'!$F:$F)+SUMIF('Week3'!$A:$A,$A27,'Week3'!$F:$F)+SUMIF('Week4'!$A:$A,$A27,'Week4'!$F:$F)</f>
        <v/>
      </c>
      <c r="G27" s="7">
        <f>SUMIF('Week1'!$A:$A,$A27,'Week1'!$G:$G)+SUMIF('Week2'!$A:$A,$A27,'Week2'!$G:$G)+SUMIF('Week3'!$A:$A,$A27,'Week3'!$G:$G)+SUMIF('Week4'!$A:$A,$A27,'Week4'!$G:$G)</f>
        <v/>
      </c>
      <c r="H27" s="7">
        <f>SUMIF('Week1'!$A:$A,$A27,'Week1'!$H:$H)+SUMIF('Week2'!$A:$A,$A27,'Week2'!$H:$H)+SUMIF('Week3'!$A:$A,$A27,'Week3'!$H:$H)+SUMIF('Week4'!$A:$A,$A27,'Week4'!$H:$H)</f>
        <v/>
      </c>
      <c r="I27" s="7">
        <f>SUMIF('Week1'!$A:$A,$A27,'Week1'!$I:$I)+SUMIF('Week2'!$A:$A,$A27,'Week2'!$I:$I)+SUMIF('Week3'!$A:$A,$A27,'Week3'!$I:$I)+SUMIF('Week4'!$A:$A,$A27,'Week4'!$I:$I)</f>
        <v/>
      </c>
      <c r="J27" s="7">
        <f>SUMIF('Week1'!$A:$A,$A27,'Week1'!$J:$J)+SUMIF('Week2'!$A:$A,$A27,'Week2'!$J:$J)+SUMIF('Week3'!$A:$A,$A27,'Week3'!$J:$J)+SUMIF('Week4'!$A:$A,$A27,'Week4'!$J:$J)</f>
        <v/>
      </c>
      <c r="K27" s="7">
        <f>SUMIF('Week1'!$A:$A,$A27,'Week1'!$K:$K)+SUMIF('Week2'!$A:$A,$A27,'Week2'!$K:$K)+SUMIF('Week3'!$A:$A,$A27,'Week3'!$K:$K)+SUMIF('Week4'!$A:$A,$A27,'Week4'!$K:$K)</f>
        <v/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7">
        <f>SUMIF('Week1'!$A:$A,$A28,'Week1'!$D:$D)+SUMIF('Week2'!$A:$A,$A28,'Week2'!$D:$D)+SUMIF('Week3'!$A:$A,$A28,'Week3'!$D:$D)+SUMIF('Week4'!$A:$A,$A28,'Week4'!$D:$D)</f>
        <v/>
      </c>
      <c r="E28" s="7">
        <f>SUMIF('Week1'!$A:$A,$A28,'Week1'!$E:$E)+SUMIF('Week2'!$A:$A,$A28,'Week2'!$E:$E)+SUMIF('Week3'!$A:$A,$A28,'Week3'!$E:$E)+SUMIF('Week4'!$A:$A,$A28,'Week4'!$E:$E)</f>
        <v/>
      </c>
      <c r="F28" s="7">
        <f>SUMIF('Week1'!$A:$A,$A28,'Week1'!$F:$F)+SUMIF('Week2'!$A:$A,$A28,'Week2'!$F:$F)+SUMIF('Week3'!$A:$A,$A28,'Week3'!$F:$F)+SUMIF('Week4'!$A:$A,$A28,'Week4'!$F:$F)</f>
        <v/>
      </c>
      <c r="G28" s="7">
        <f>SUMIF('Week1'!$A:$A,$A28,'Week1'!$G:$G)+SUMIF('Week2'!$A:$A,$A28,'Week2'!$G:$G)+SUMIF('Week3'!$A:$A,$A28,'Week3'!$G:$G)+SUMIF('Week4'!$A:$A,$A28,'Week4'!$G:$G)</f>
        <v/>
      </c>
      <c r="H28" s="7">
        <f>SUMIF('Week1'!$A:$A,$A28,'Week1'!$H:$H)+SUMIF('Week2'!$A:$A,$A28,'Week2'!$H:$H)+SUMIF('Week3'!$A:$A,$A28,'Week3'!$H:$H)+SUMIF('Week4'!$A:$A,$A28,'Week4'!$H:$H)</f>
        <v/>
      </c>
      <c r="I28" s="7">
        <f>SUMIF('Week1'!$A:$A,$A28,'Week1'!$I:$I)+SUMIF('Week2'!$A:$A,$A28,'Week2'!$I:$I)+SUMIF('Week3'!$A:$A,$A28,'Week3'!$I:$I)+SUMIF('Week4'!$A:$A,$A28,'Week4'!$I:$I)</f>
        <v/>
      </c>
      <c r="J28" s="7">
        <f>SUMIF('Week1'!$A:$A,$A28,'Week1'!$J:$J)+SUMIF('Week2'!$A:$A,$A28,'Week2'!$J:$J)+SUMIF('Week3'!$A:$A,$A28,'Week3'!$J:$J)+SUMIF('Week4'!$A:$A,$A28,'Week4'!$J:$J)</f>
        <v/>
      </c>
      <c r="K28" s="7">
        <f>SUMIF('Week1'!$A:$A,$A28,'Week1'!$K:$K)+SUMIF('Week2'!$A:$A,$A28,'Week2'!$K:$K)+SUMIF('Week3'!$A:$A,$A28,'Week3'!$K:$K)+SUMIF('Week4'!$A:$A,$A28,'Week4'!$K:$K)</f>
        <v/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7">
        <f>SUMIF('Week1'!$A:$A,$A29,'Week1'!$D:$D)+SUMIF('Week2'!$A:$A,$A29,'Week2'!$D:$D)+SUMIF('Week3'!$A:$A,$A29,'Week3'!$D:$D)+SUMIF('Week4'!$A:$A,$A29,'Week4'!$D:$D)</f>
        <v/>
      </c>
      <c r="E29" s="7">
        <f>SUMIF('Week1'!$A:$A,$A29,'Week1'!$E:$E)+SUMIF('Week2'!$A:$A,$A29,'Week2'!$E:$E)+SUMIF('Week3'!$A:$A,$A29,'Week3'!$E:$E)+SUMIF('Week4'!$A:$A,$A29,'Week4'!$E:$E)</f>
        <v/>
      </c>
      <c r="F29" s="7">
        <f>SUMIF('Week1'!$A:$A,$A29,'Week1'!$F:$F)+SUMIF('Week2'!$A:$A,$A29,'Week2'!$F:$F)+SUMIF('Week3'!$A:$A,$A29,'Week3'!$F:$F)+SUMIF('Week4'!$A:$A,$A29,'Week4'!$F:$F)</f>
        <v/>
      </c>
      <c r="G29" s="7">
        <f>SUMIF('Week1'!$A:$A,$A29,'Week1'!$G:$G)+SUMIF('Week2'!$A:$A,$A29,'Week2'!$G:$G)+SUMIF('Week3'!$A:$A,$A29,'Week3'!$G:$G)+SUMIF('Week4'!$A:$A,$A29,'Week4'!$G:$G)</f>
        <v/>
      </c>
      <c r="H29" s="7">
        <f>SUMIF('Week1'!$A:$A,$A29,'Week1'!$H:$H)+SUMIF('Week2'!$A:$A,$A29,'Week2'!$H:$H)+SUMIF('Week3'!$A:$A,$A29,'Week3'!$H:$H)+SUMIF('Week4'!$A:$A,$A29,'Week4'!$H:$H)</f>
        <v/>
      </c>
      <c r="I29" s="7">
        <f>SUMIF('Week1'!$A:$A,$A29,'Week1'!$I:$I)+SUMIF('Week2'!$A:$A,$A29,'Week2'!$I:$I)+SUMIF('Week3'!$A:$A,$A29,'Week3'!$I:$I)+SUMIF('Week4'!$A:$A,$A29,'Week4'!$I:$I)</f>
        <v/>
      </c>
      <c r="J29" s="7">
        <f>SUMIF('Week1'!$A:$A,$A29,'Week1'!$J:$J)+SUMIF('Week2'!$A:$A,$A29,'Week2'!$J:$J)+SUMIF('Week3'!$A:$A,$A29,'Week3'!$J:$J)+SUMIF('Week4'!$A:$A,$A29,'Week4'!$J:$J)</f>
        <v/>
      </c>
      <c r="K29" s="7">
        <f>SUMIF('Week1'!$A:$A,$A29,'Week1'!$K:$K)+SUMIF('Week2'!$A:$A,$A29,'Week2'!$K:$K)+SUMIF('Week3'!$A:$A,$A29,'Week3'!$K:$K)+SUMIF('Week4'!$A:$A,$A29,'Week4'!$K:$K)</f>
        <v/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7">
        <f>SUMIF('Week1'!$A:$A,$A30,'Week1'!$D:$D)+SUMIF('Week2'!$A:$A,$A30,'Week2'!$D:$D)+SUMIF('Week3'!$A:$A,$A30,'Week3'!$D:$D)+SUMIF('Week4'!$A:$A,$A30,'Week4'!$D:$D)</f>
        <v/>
      </c>
      <c r="E30" s="7">
        <f>SUMIF('Week1'!$A:$A,$A30,'Week1'!$E:$E)+SUMIF('Week2'!$A:$A,$A30,'Week2'!$E:$E)+SUMIF('Week3'!$A:$A,$A30,'Week3'!$E:$E)+SUMIF('Week4'!$A:$A,$A30,'Week4'!$E:$E)</f>
        <v/>
      </c>
      <c r="F30" s="7">
        <f>SUMIF('Week1'!$A:$A,$A30,'Week1'!$F:$F)+SUMIF('Week2'!$A:$A,$A30,'Week2'!$F:$F)+SUMIF('Week3'!$A:$A,$A30,'Week3'!$F:$F)+SUMIF('Week4'!$A:$A,$A30,'Week4'!$F:$F)</f>
        <v/>
      </c>
      <c r="G30" s="7">
        <f>SUMIF('Week1'!$A:$A,$A30,'Week1'!$G:$G)+SUMIF('Week2'!$A:$A,$A30,'Week2'!$G:$G)+SUMIF('Week3'!$A:$A,$A30,'Week3'!$G:$G)+SUMIF('Week4'!$A:$A,$A30,'Week4'!$G:$G)</f>
        <v/>
      </c>
      <c r="H30" s="7">
        <f>SUMIF('Week1'!$A:$A,$A30,'Week1'!$H:$H)+SUMIF('Week2'!$A:$A,$A30,'Week2'!$H:$H)+SUMIF('Week3'!$A:$A,$A30,'Week3'!$H:$H)+SUMIF('Week4'!$A:$A,$A30,'Week4'!$H:$H)</f>
        <v/>
      </c>
      <c r="I30" s="7">
        <f>SUMIF('Week1'!$A:$A,$A30,'Week1'!$I:$I)+SUMIF('Week2'!$A:$A,$A30,'Week2'!$I:$I)+SUMIF('Week3'!$A:$A,$A30,'Week3'!$I:$I)+SUMIF('Week4'!$A:$A,$A30,'Week4'!$I:$I)</f>
        <v/>
      </c>
      <c r="J30" s="7">
        <f>SUMIF('Week1'!$A:$A,$A30,'Week1'!$J:$J)+SUMIF('Week2'!$A:$A,$A30,'Week2'!$J:$J)+SUMIF('Week3'!$A:$A,$A30,'Week3'!$J:$J)+SUMIF('Week4'!$A:$A,$A30,'Week4'!$J:$J)</f>
        <v/>
      </c>
      <c r="K30" s="7">
        <f>SUMIF('Week1'!$A:$A,$A30,'Week1'!$K:$K)+SUMIF('Week2'!$A:$A,$A30,'Week2'!$K:$K)+SUMIF('Week3'!$A:$A,$A30,'Week3'!$K:$K)+SUMIF('Week4'!$A:$A,$A30,'Week4'!$K:$K)</f>
        <v/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7">
        <f>SUMIF('Week1'!$A:$A,$A31,'Week1'!$D:$D)+SUMIF('Week2'!$A:$A,$A31,'Week2'!$D:$D)+SUMIF('Week3'!$A:$A,$A31,'Week3'!$D:$D)+SUMIF('Week4'!$A:$A,$A31,'Week4'!$D:$D)</f>
        <v/>
      </c>
      <c r="E31" s="7">
        <f>SUMIF('Week1'!$A:$A,$A31,'Week1'!$E:$E)+SUMIF('Week2'!$A:$A,$A31,'Week2'!$E:$E)+SUMIF('Week3'!$A:$A,$A31,'Week3'!$E:$E)+SUMIF('Week4'!$A:$A,$A31,'Week4'!$E:$E)</f>
        <v/>
      </c>
      <c r="F31" s="7">
        <f>SUMIF('Week1'!$A:$A,$A31,'Week1'!$F:$F)+SUMIF('Week2'!$A:$A,$A31,'Week2'!$F:$F)+SUMIF('Week3'!$A:$A,$A31,'Week3'!$F:$F)+SUMIF('Week4'!$A:$A,$A31,'Week4'!$F:$F)</f>
        <v/>
      </c>
      <c r="G31" s="7">
        <f>SUMIF('Week1'!$A:$A,$A31,'Week1'!$G:$G)+SUMIF('Week2'!$A:$A,$A31,'Week2'!$G:$G)+SUMIF('Week3'!$A:$A,$A31,'Week3'!$G:$G)+SUMIF('Week4'!$A:$A,$A31,'Week4'!$G:$G)</f>
        <v/>
      </c>
      <c r="H31" s="7">
        <f>SUMIF('Week1'!$A:$A,$A31,'Week1'!$H:$H)+SUMIF('Week2'!$A:$A,$A31,'Week2'!$H:$H)+SUMIF('Week3'!$A:$A,$A31,'Week3'!$H:$H)+SUMIF('Week4'!$A:$A,$A31,'Week4'!$H:$H)</f>
        <v/>
      </c>
      <c r="I31" s="7">
        <f>SUMIF('Week1'!$A:$A,$A31,'Week1'!$I:$I)+SUMIF('Week2'!$A:$A,$A31,'Week2'!$I:$I)+SUMIF('Week3'!$A:$A,$A31,'Week3'!$I:$I)+SUMIF('Week4'!$A:$A,$A31,'Week4'!$I:$I)</f>
        <v/>
      </c>
      <c r="J31" s="7">
        <f>SUMIF('Week1'!$A:$A,$A31,'Week1'!$J:$J)+SUMIF('Week2'!$A:$A,$A31,'Week2'!$J:$J)+SUMIF('Week3'!$A:$A,$A31,'Week3'!$J:$J)+SUMIF('Week4'!$A:$A,$A31,'Week4'!$J:$J)</f>
        <v/>
      </c>
      <c r="K31" s="7">
        <f>SUMIF('Week1'!$A:$A,$A31,'Week1'!$K:$K)+SUMIF('Week2'!$A:$A,$A31,'Week2'!$K:$K)+SUMIF('Week3'!$A:$A,$A31,'Week3'!$K:$K)+SUMIF('Week4'!$A:$A,$A31,'Week4'!$K:$K)</f>
        <v/>
      </c>
    </row>
    <row r="32">
      <c r="A32" s="6" t="inlineStr">
        <is>
          <t>PARSHOTAM PRADIPKUMAR EOLL</t>
        </is>
      </c>
      <c r="B32" s="6" t="inlineStr">
        <is>
          <t>A-EL PROD FRYING</t>
        </is>
      </c>
      <c r="C32" s="7" t="n">
        <v>1596</v>
      </c>
      <c r="D32" s="7">
        <f>SUMIF('Week1'!$A:$A,$A32,'Week1'!$D:$D)+SUMIF('Week2'!$A:$A,$A32,'Week2'!$D:$D)+SUMIF('Week3'!$A:$A,$A32,'Week3'!$D:$D)+SUMIF('Week4'!$A:$A,$A32,'Week4'!$D:$D)</f>
        <v/>
      </c>
      <c r="E32" s="7">
        <f>SUMIF('Week1'!$A:$A,$A32,'Week1'!$E:$E)+SUMIF('Week2'!$A:$A,$A32,'Week2'!$E:$E)+SUMIF('Week3'!$A:$A,$A32,'Week3'!$E:$E)+SUMIF('Week4'!$A:$A,$A32,'Week4'!$E:$E)</f>
        <v/>
      </c>
      <c r="F32" s="7">
        <f>SUMIF('Week1'!$A:$A,$A32,'Week1'!$F:$F)+SUMIF('Week2'!$A:$A,$A32,'Week2'!$F:$F)+SUMIF('Week3'!$A:$A,$A32,'Week3'!$F:$F)+SUMIF('Week4'!$A:$A,$A32,'Week4'!$F:$F)</f>
        <v/>
      </c>
      <c r="G32" s="7">
        <f>SUMIF('Week1'!$A:$A,$A32,'Week1'!$G:$G)+SUMIF('Week2'!$A:$A,$A32,'Week2'!$G:$G)+SUMIF('Week3'!$A:$A,$A32,'Week3'!$G:$G)+SUMIF('Week4'!$A:$A,$A32,'Week4'!$G:$G)</f>
        <v/>
      </c>
      <c r="H32" s="7">
        <f>SUMIF('Week1'!$A:$A,$A32,'Week1'!$H:$H)+SUMIF('Week2'!$A:$A,$A32,'Week2'!$H:$H)+SUMIF('Week3'!$A:$A,$A32,'Week3'!$H:$H)+SUMIF('Week4'!$A:$A,$A32,'Week4'!$H:$H)</f>
        <v/>
      </c>
      <c r="I32" s="7">
        <f>SUMIF('Week1'!$A:$A,$A32,'Week1'!$I:$I)+SUMIF('Week2'!$A:$A,$A32,'Week2'!$I:$I)+SUMIF('Week3'!$A:$A,$A32,'Week3'!$I:$I)+SUMIF('Week4'!$A:$A,$A32,'Week4'!$I:$I)</f>
        <v/>
      </c>
      <c r="J32" s="7">
        <f>SUMIF('Week1'!$A:$A,$A32,'Week1'!$J:$J)+SUMIF('Week2'!$A:$A,$A32,'Week2'!$J:$J)+SUMIF('Week3'!$A:$A,$A32,'Week3'!$J:$J)+SUMIF('Week4'!$A:$A,$A32,'Week4'!$J:$J)</f>
        <v/>
      </c>
      <c r="K32" s="7">
        <f>SUMIF('Week1'!$A:$A,$A32,'Week1'!$K:$K)+SUMIF('Week2'!$A:$A,$A32,'Week2'!$K:$K)+SUMIF('Week3'!$A:$A,$A32,'Week3'!$K:$K)+SUMIF('Week4'!$A:$A,$A32,'Week4'!$K:$K)</f>
        <v/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7">
        <f>SUMIF('Week1'!$A:$A,$A33,'Week1'!$D:$D)+SUMIF('Week2'!$A:$A,$A33,'Week2'!$D:$D)+SUMIF('Week3'!$A:$A,$A33,'Week3'!$D:$D)+SUMIF('Week4'!$A:$A,$A33,'Week4'!$D:$D)</f>
        <v/>
      </c>
      <c r="E33" s="7">
        <f>SUMIF('Week1'!$A:$A,$A33,'Week1'!$E:$E)+SUMIF('Week2'!$A:$A,$A33,'Week2'!$E:$E)+SUMIF('Week3'!$A:$A,$A33,'Week3'!$E:$E)+SUMIF('Week4'!$A:$A,$A33,'Week4'!$E:$E)</f>
        <v/>
      </c>
      <c r="F33" s="7">
        <f>SUMIF('Week1'!$A:$A,$A33,'Week1'!$F:$F)+SUMIF('Week2'!$A:$A,$A33,'Week2'!$F:$F)+SUMIF('Week3'!$A:$A,$A33,'Week3'!$F:$F)+SUMIF('Week4'!$A:$A,$A33,'Week4'!$F:$F)</f>
        <v/>
      </c>
      <c r="G33" s="7">
        <f>SUMIF('Week1'!$A:$A,$A33,'Week1'!$G:$G)+SUMIF('Week2'!$A:$A,$A33,'Week2'!$G:$G)+SUMIF('Week3'!$A:$A,$A33,'Week3'!$G:$G)+SUMIF('Week4'!$A:$A,$A33,'Week4'!$G:$G)</f>
        <v/>
      </c>
      <c r="H33" s="7">
        <f>SUMIF('Week1'!$A:$A,$A33,'Week1'!$H:$H)+SUMIF('Week2'!$A:$A,$A33,'Week2'!$H:$H)+SUMIF('Week3'!$A:$A,$A33,'Week3'!$H:$H)+SUMIF('Week4'!$A:$A,$A33,'Week4'!$H:$H)</f>
        <v/>
      </c>
      <c r="I33" s="7">
        <f>SUMIF('Week1'!$A:$A,$A33,'Week1'!$I:$I)+SUMIF('Week2'!$A:$A,$A33,'Week2'!$I:$I)+SUMIF('Week3'!$A:$A,$A33,'Week3'!$I:$I)+SUMIF('Week4'!$A:$A,$A33,'Week4'!$I:$I)</f>
        <v/>
      </c>
      <c r="J33" s="7">
        <f>SUMIF('Week1'!$A:$A,$A33,'Week1'!$J:$J)+SUMIF('Week2'!$A:$A,$A33,'Week2'!$J:$J)+SUMIF('Week3'!$A:$A,$A33,'Week3'!$J:$J)+SUMIF('Week4'!$A:$A,$A33,'Week4'!$J:$J)</f>
        <v/>
      </c>
      <c r="K33" s="7">
        <f>SUMIF('Week1'!$A:$A,$A33,'Week1'!$K:$K)+SUMIF('Week2'!$A:$A,$A33,'Week2'!$K:$K)+SUMIF('Week3'!$A:$A,$A33,'Week3'!$K:$K)+SUMIF('Week4'!$A:$A,$A33,'Week4'!$K:$K)</f>
        <v/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7">
        <f>SUMIF('Week1'!$A:$A,$A34,'Week1'!$D:$D)+SUMIF('Week2'!$A:$A,$A34,'Week2'!$D:$D)+SUMIF('Week3'!$A:$A,$A34,'Week3'!$D:$D)+SUMIF('Week4'!$A:$A,$A34,'Week4'!$D:$D)</f>
        <v/>
      </c>
      <c r="E34" s="7">
        <f>SUMIF('Week1'!$A:$A,$A34,'Week1'!$E:$E)+SUMIF('Week2'!$A:$A,$A34,'Week2'!$E:$E)+SUMIF('Week3'!$A:$A,$A34,'Week3'!$E:$E)+SUMIF('Week4'!$A:$A,$A34,'Week4'!$E:$E)</f>
        <v/>
      </c>
      <c r="F34" s="7">
        <f>SUMIF('Week1'!$A:$A,$A34,'Week1'!$F:$F)+SUMIF('Week2'!$A:$A,$A34,'Week2'!$F:$F)+SUMIF('Week3'!$A:$A,$A34,'Week3'!$F:$F)+SUMIF('Week4'!$A:$A,$A34,'Week4'!$F:$F)</f>
        <v/>
      </c>
      <c r="G34" s="7">
        <f>SUMIF('Week1'!$A:$A,$A34,'Week1'!$G:$G)+SUMIF('Week2'!$A:$A,$A34,'Week2'!$G:$G)+SUMIF('Week3'!$A:$A,$A34,'Week3'!$G:$G)+SUMIF('Week4'!$A:$A,$A34,'Week4'!$G:$G)</f>
        <v/>
      </c>
      <c r="H34" s="7">
        <f>SUMIF('Week1'!$A:$A,$A34,'Week1'!$H:$H)+SUMIF('Week2'!$A:$A,$A34,'Week2'!$H:$H)+SUMIF('Week3'!$A:$A,$A34,'Week3'!$H:$H)+SUMIF('Week4'!$A:$A,$A34,'Week4'!$H:$H)</f>
        <v/>
      </c>
      <c r="I34" s="7">
        <f>SUMIF('Week1'!$A:$A,$A34,'Week1'!$I:$I)+SUMIF('Week2'!$A:$A,$A34,'Week2'!$I:$I)+SUMIF('Week3'!$A:$A,$A34,'Week3'!$I:$I)+SUMIF('Week4'!$A:$A,$A34,'Week4'!$I:$I)</f>
        <v/>
      </c>
      <c r="J34" s="7">
        <f>SUMIF('Week1'!$A:$A,$A34,'Week1'!$J:$J)+SUMIF('Week2'!$A:$A,$A34,'Week2'!$J:$J)+SUMIF('Week3'!$A:$A,$A34,'Week3'!$J:$J)+SUMIF('Week4'!$A:$A,$A34,'Week4'!$J:$J)</f>
        <v/>
      </c>
      <c r="K34" s="7">
        <f>SUMIF('Week1'!$A:$A,$A34,'Week1'!$K:$K)+SUMIF('Week2'!$A:$A,$A34,'Week2'!$K:$K)+SUMIF('Week3'!$A:$A,$A34,'Week3'!$K:$K)+SUMIF('Week4'!$A:$A,$A34,'Week4'!$K:$K)</f>
        <v/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7">
        <f>SUMIF('Week1'!$A:$A,$A35,'Week1'!$D:$D)+SUMIF('Week2'!$A:$A,$A35,'Week2'!$D:$D)+SUMIF('Week3'!$A:$A,$A35,'Week3'!$D:$D)+SUMIF('Week4'!$A:$A,$A35,'Week4'!$D:$D)</f>
        <v/>
      </c>
      <c r="E35" s="7">
        <f>SUMIF('Week1'!$A:$A,$A35,'Week1'!$E:$E)+SUMIF('Week2'!$A:$A,$A35,'Week2'!$E:$E)+SUMIF('Week3'!$A:$A,$A35,'Week3'!$E:$E)+SUMIF('Week4'!$A:$A,$A35,'Week4'!$E:$E)</f>
        <v/>
      </c>
      <c r="F35" s="7">
        <f>SUMIF('Week1'!$A:$A,$A35,'Week1'!$F:$F)+SUMIF('Week2'!$A:$A,$A35,'Week2'!$F:$F)+SUMIF('Week3'!$A:$A,$A35,'Week3'!$F:$F)+SUMIF('Week4'!$A:$A,$A35,'Week4'!$F:$F)</f>
        <v/>
      </c>
      <c r="G35" s="7">
        <f>SUMIF('Week1'!$A:$A,$A35,'Week1'!$G:$G)+SUMIF('Week2'!$A:$A,$A35,'Week2'!$G:$G)+SUMIF('Week3'!$A:$A,$A35,'Week3'!$G:$G)+SUMIF('Week4'!$A:$A,$A35,'Week4'!$G:$G)</f>
        <v/>
      </c>
      <c r="H35" s="7">
        <f>SUMIF('Week1'!$A:$A,$A35,'Week1'!$H:$H)+SUMIF('Week2'!$A:$A,$A35,'Week2'!$H:$H)+SUMIF('Week3'!$A:$A,$A35,'Week3'!$H:$H)+SUMIF('Week4'!$A:$A,$A35,'Week4'!$H:$H)</f>
        <v/>
      </c>
      <c r="I35" s="7">
        <f>SUMIF('Week1'!$A:$A,$A35,'Week1'!$I:$I)+SUMIF('Week2'!$A:$A,$A35,'Week2'!$I:$I)+SUMIF('Week3'!$A:$A,$A35,'Week3'!$I:$I)+SUMIF('Week4'!$A:$A,$A35,'Week4'!$I:$I)</f>
        <v/>
      </c>
      <c r="J35" s="7">
        <f>SUMIF('Week1'!$A:$A,$A35,'Week1'!$J:$J)+SUMIF('Week2'!$A:$A,$A35,'Week2'!$J:$J)+SUMIF('Week3'!$A:$A,$A35,'Week3'!$J:$J)+SUMIF('Week4'!$A:$A,$A35,'Week4'!$J:$J)</f>
        <v/>
      </c>
      <c r="K35" s="7">
        <f>SUMIF('Week1'!$A:$A,$A35,'Week1'!$K:$K)+SUMIF('Week2'!$A:$A,$A35,'Week2'!$K:$K)+SUMIF('Week3'!$A:$A,$A35,'Week3'!$K:$K)+SUMIF('Week4'!$A:$A,$A35,'Week4'!$K:$K)</f>
        <v/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7">
        <f>SUMIF('Week1'!$A:$A,$A36,'Week1'!$D:$D)+SUMIF('Week2'!$A:$A,$A36,'Week2'!$D:$D)+SUMIF('Week3'!$A:$A,$A36,'Week3'!$D:$D)+SUMIF('Week4'!$A:$A,$A36,'Week4'!$D:$D)</f>
        <v/>
      </c>
      <c r="E36" s="7">
        <f>SUMIF('Week1'!$A:$A,$A36,'Week1'!$E:$E)+SUMIF('Week2'!$A:$A,$A36,'Week2'!$E:$E)+SUMIF('Week3'!$A:$A,$A36,'Week3'!$E:$E)+SUMIF('Week4'!$A:$A,$A36,'Week4'!$E:$E)</f>
        <v/>
      </c>
      <c r="F36" s="7">
        <f>SUMIF('Week1'!$A:$A,$A36,'Week1'!$F:$F)+SUMIF('Week2'!$A:$A,$A36,'Week2'!$F:$F)+SUMIF('Week3'!$A:$A,$A36,'Week3'!$F:$F)+SUMIF('Week4'!$A:$A,$A36,'Week4'!$F:$F)</f>
        <v/>
      </c>
      <c r="G36" s="7">
        <f>SUMIF('Week1'!$A:$A,$A36,'Week1'!$G:$G)+SUMIF('Week2'!$A:$A,$A36,'Week2'!$G:$G)+SUMIF('Week3'!$A:$A,$A36,'Week3'!$G:$G)+SUMIF('Week4'!$A:$A,$A36,'Week4'!$G:$G)</f>
        <v/>
      </c>
      <c r="H36" s="7">
        <f>SUMIF('Week1'!$A:$A,$A36,'Week1'!$H:$H)+SUMIF('Week2'!$A:$A,$A36,'Week2'!$H:$H)+SUMIF('Week3'!$A:$A,$A36,'Week3'!$H:$H)+SUMIF('Week4'!$A:$A,$A36,'Week4'!$H:$H)</f>
        <v/>
      </c>
      <c r="I36" s="7">
        <f>SUMIF('Week1'!$A:$A,$A36,'Week1'!$I:$I)+SUMIF('Week2'!$A:$A,$A36,'Week2'!$I:$I)+SUMIF('Week3'!$A:$A,$A36,'Week3'!$I:$I)+SUMIF('Week4'!$A:$A,$A36,'Week4'!$I:$I)</f>
        <v/>
      </c>
      <c r="J36" s="7">
        <f>SUMIF('Week1'!$A:$A,$A36,'Week1'!$J:$J)+SUMIF('Week2'!$A:$A,$A36,'Week2'!$J:$J)+SUMIF('Week3'!$A:$A,$A36,'Week3'!$J:$J)+SUMIF('Week4'!$A:$A,$A36,'Week4'!$J:$J)</f>
        <v/>
      </c>
      <c r="K36" s="7">
        <f>SUMIF('Week1'!$A:$A,$A36,'Week1'!$K:$K)+SUMIF('Week2'!$A:$A,$A36,'Week2'!$K:$K)+SUMIF('Week3'!$A:$A,$A36,'Week3'!$K:$K)+SUMIF('Week4'!$A:$A,$A36,'Week4'!$K:$K)</f>
        <v/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7">
        <f>SUMIF('Week1'!$A:$A,$A37,'Week1'!$D:$D)+SUMIF('Week2'!$A:$A,$A37,'Week2'!$D:$D)+SUMIF('Week3'!$A:$A,$A37,'Week3'!$D:$D)+SUMIF('Week4'!$A:$A,$A37,'Week4'!$D:$D)</f>
        <v/>
      </c>
      <c r="E37" s="7">
        <f>SUMIF('Week1'!$A:$A,$A37,'Week1'!$E:$E)+SUMIF('Week2'!$A:$A,$A37,'Week2'!$E:$E)+SUMIF('Week3'!$A:$A,$A37,'Week3'!$E:$E)+SUMIF('Week4'!$A:$A,$A37,'Week4'!$E:$E)</f>
        <v/>
      </c>
      <c r="F37" s="7">
        <f>SUMIF('Week1'!$A:$A,$A37,'Week1'!$F:$F)+SUMIF('Week2'!$A:$A,$A37,'Week2'!$F:$F)+SUMIF('Week3'!$A:$A,$A37,'Week3'!$F:$F)+SUMIF('Week4'!$A:$A,$A37,'Week4'!$F:$F)</f>
        <v/>
      </c>
      <c r="G37" s="7">
        <f>SUMIF('Week1'!$A:$A,$A37,'Week1'!$G:$G)+SUMIF('Week2'!$A:$A,$A37,'Week2'!$G:$G)+SUMIF('Week3'!$A:$A,$A37,'Week3'!$G:$G)+SUMIF('Week4'!$A:$A,$A37,'Week4'!$G:$G)</f>
        <v/>
      </c>
      <c r="H37" s="7">
        <f>SUMIF('Week1'!$A:$A,$A37,'Week1'!$H:$H)+SUMIF('Week2'!$A:$A,$A37,'Week2'!$H:$H)+SUMIF('Week3'!$A:$A,$A37,'Week3'!$H:$H)+SUMIF('Week4'!$A:$A,$A37,'Week4'!$H:$H)</f>
        <v/>
      </c>
      <c r="I37" s="7">
        <f>SUMIF('Week1'!$A:$A,$A37,'Week1'!$I:$I)+SUMIF('Week2'!$A:$A,$A37,'Week2'!$I:$I)+SUMIF('Week3'!$A:$A,$A37,'Week3'!$I:$I)+SUMIF('Week4'!$A:$A,$A37,'Week4'!$I:$I)</f>
        <v/>
      </c>
      <c r="J37" s="7">
        <f>SUMIF('Week1'!$A:$A,$A37,'Week1'!$J:$J)+SUMIF('Week2'!$A:$A,$A37,'Week2'!$J:$J)+SUMIF('Week3'!$A:$A,$A37,'Week3'!$J:$J)+SUMIF('Week4'!$A:$A,$A37,'Week4'!$J:$J)</f>
        <v/>
      </c>
      <c r="K37" s="7">
        <f>SUMIF('Week1'!$A:$A,$A37,'Week1'!$K:$K)+SUMIF('Week2'!$A:$A,$A37,'Week2'!$K:$K)+SUMIF('Week3'!$A:$A,$A37,'Week3'!$K:$K)+SUMIF('Week4'!$A:$A,$A37,'Week4'!$K:$K)</f>
        <v/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7">
        <f>SUMIF('Week1'!$A:$A,$A38,'Week1'!$D:$D)+SUMIF('Week2'!$A:$A,$A38,'Week2'!$D:$D)+SUMIF('Week3'!$A:$A,$A38,'Week3'!$D:$D)+SUMIF('Week4'!$A:$A,$A38,'Week4'!$D:$D)</f>
        <v/>
      </c>
      <c r="E38" s="7">
        <f>SUMIF('Week1'!$A:$A,$A38,'Week1'!$E:$E)+SUMIF('Week2'!$A:$A,$A38,'Week2'!$E:$E)+SUMIF('Week3'!$A:$A,$A38,'Week3'!$E:$E)+SUMIF('Week4'!$A:$A,$A38,'Week4'!$E:$E)</f>
        <v/>
      </c>
      <c r="F38" s="7">
        <f>SUMIF('Week1'!$A:$A,$A38,'Week1'!$F:$F)+SUMIF('Week2'!$A:$A,$A38,'Week2'!$F:$F)+SUMIF('Week3'!$A:$A,$A38,'Week3'!$F:$F)+SUMIF('Week4'!$A:$A,$A38,'Week4'!$F:$F)</f>
        <v/>
      </c>
      <c r="G38" s="7">
        <f>SUMIF('Week1'!$A:$A,$A38,'Week1'!$G:$G)+SUMIF('Week2'!$A:$A,$A38,'Week2'!$G:$G)+SUMIF('Week3'!$A:$A,$A38,'Week3'!$G:$G)+SUMIF('Week4'!$A:$A,$A38,'Week4'!$G:$G)</f>
        <v/>
      </c>
      <c r="H38" s="7">
        <f>SUMIF('Week1'!$A:$A,$A38,'Week1'!$H:$H)+SUMIF('Week2'!$A:$A,$A38,'Week2'!$H:$H)+SUMIF('Week3'!$A:$A,$A38,'Week3'!$H:$H)+SUMIF('Week4'!$A:$A,$A38,'Week4'!$H:$H)</f>
        <v/>
      </c>
      <c r="I38" s="7">
        <f>SUMIF('Week1'!$A:$A,$A38,'Week1'!$I:$I)+SUMIF('Week2'!$A:$A,$A38,'Week2'!$I:$I)+SUMIF('Week3'!$A:$A,$A38,'Week3'!$I:$I)+SUMIF('Week4'!$A:$A,$A38,'Week4'!$I:$I)</f>
        <v/>
      </c>
      <c r="J38" s="7">
        <f>SUMIF('Week1'!$A:$A,$A38,'Week1'!$J:$J)+SUMIF('Week2'!$A:$A,$A38,'Week2'!$J:$J)+SUMIF('Week3'!$A:$A,$A38,'Week3'!$J:$J)+SUMIF('Week4'!$A:$A,$A38,'Week4'!$J:$J)</f>
        <v/>
      </c>
      <c r="K38" s="7">
        <f>SUMIF('Week1'!$A:$A,$A38,'Week1'!$K:$K)+SUMIF('Week2'!$A:$A,$A38,'Week2'!$K:$K)+SUMIF('Week3'!$A:$A,$A38,'Week3'!$K:$K)+SUMIF('Week4'!$A:$A,$A38,'Week4'!$K:$K)</f>
        <v/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7">
        <f>SUMIF('Week1'!$A:$A,$A39,'Week1'!$D:$D)+SUMIF('Week2'!$A:$A,$A39,'Week2'!$D:$D)+SUMIF('Week3'!$A:$A,$A39,'Week3'!$D:$D)+SUMIF('Week4'!$A:$A,$A39,'Week4'!$D:$D)</f>
        <v/>
      </c>
      <c r="E39" s="7">
        <f>SUMIF('Week1'!$A:$A,$A39,'Week1'!$E:$E)+SUMIF('Week2'!$A:$A,$A39,'Week2'!$E:$E)+SUMIF('Week3'!$A:$A,$A39,'Week3'!$E:$E)+SUMIF('Week4'!$A:$A,$A39,'Week4'!$E:$E)</f>
        <v/>
      </c>
      <c r="F39" s="7">
        <f>SUMIF('Week1'!$A:$A,$A39,'Week1'!$F:$F)+SUMIF('Week2'!$A:$A,$A39,'Week2'!$F:$F)+SUMIF('Week3'!$A:$A,$A39,'Week3'!$F:$F)+SUMIF('Week4'!$A:$A,$A39,'Week4'!$F:$F)</f>
        <v/>
      </c>
      <c r="G39" s="7">
        <f>SUMIF('Week1'!$A:$A,$A39,'Week1'!$G:$G)+SUMIF('Week2'!$A:$A,$A39,'Week2'!$G:$G)+SUMIF('Week3'!$A:$A,$A39,'Week3'!$G:$G)+SUMIF('Week4'!$A:$A,$A39,'Week4'!$G:$G)</f>
        <v/>
      </c>
      <c r="H39" s="7">
        <f>SUMIF('Week1'!$A:$A,$A39,'Week1'!$H:$H)+SUMIF('Week2'!$A:$A,$A39,'Week2'!$H:$H)+SUMIF('Week3'!$A:$A,$A39,'Week3'!$H:$H)+SUMIF('Week4'!$A:$A,$A39,'Week4'!$H:$H)</f>
        <v/>
      </c>
      <c r="I39" s="7">
        <f>SUMIF('Week1'!$A:$A,$A39,'Week1'!$I:$I)+SUMIF('Week2'!$A:$A,$A39,'Week2'!$I:$I)+SUMIF('Week3'!$A:$A,$A39,'Week3'!$I:$I)+SUMIF('Week4'!$A:$A,$A39,'Week4'!$I:$I)</f>
        <v/>
      </c>
      <c r="J39" s="7">
        <f>SUMIF('Week1'!$A:$A,$A39,'Week1'!$J:$J)+SUMIF('Week2'!$A:$A,$A39,'Week2'!$J:$J)+SUMIF('Week3'!$A:$A,$A39,'Week3'!$J:$J)+SUMIF('Week4'!$A:$A,$A39,'Week4'!$J:$J)</f>
        <v/>
      </c>
      <c r="K39" s="7">
        <f>SUMIF('Week1'!$A:$A,$A39,'Week1'!$K:$K)+SUMIF('Week2'!$A:$A,$A39,'Week2'!$K:$K)+SUMIF('Week3'!$A:$A,$A39,'Week3'!$K:$K)+SUMIF('Week4'!$A:$A,$A39,'Week4'!$K:$K)</f>
        <v/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7">
        <f>SUMIF('Week1'!$A:$A,$A40,'Week1'!$D:$D)+SUMIF('Week2'!$A:$A,$A40,'Week2'!$D:$D)+SUMIF('Week3'!$A:$A,$A40,'Week3'!$D:$D)+SUMIF('Week4'!$A:$A,$A40,'Week4'!$D:$D)</f>
        <v/>
      </c>
      <c r="E40" s="7">
        <f>SUMIF('Week1'!$A:$A,$A40,'Week1'!$E:$E)+SUMIF('Week2'!$A:$A,$A40,'Week2'!$E:$E)+SUMIF('Week3'!$A:$A,$A40,'Week3'!$E:$E)+SUMIF('Week4'!$A:$A,$A40,'Week4'!$E:$E)</f>
        <v/>
      </c>
      <c r="F40" s="7">
        <f>SUMIF('Week1'!$A:$A,$A40,'Week1'!$F:$F)+SUMIF('Week2'!$A:$A,$A40,'Week2'!$F:$F)+SUMIF('Week3'!$A:$A,$A40,'Week3'!$F:$F)+SUMIF('Week4'!$A:$A,$A40,'Week4'!$F:$F)</f>
        <v/>
      </c>
      <c r="G40" s="7">
        <f>SUMIF('Week1'!$A:$A,$A40,'Week1'!$G:$G)+SUMIF('Week2'!$A:$A,$A40,'Week2'!$G:$G)+SUMIF('Week3'!$A:$A,$A40,'Week3'!$G:$G)+SUMIF('Week4'!$A:$A,$A40,'Week4'!$G:$G)</f>
        <v/>
      </c>
      <c r="H40" s="7">
        <f>SUMIF('Week1'!$A:$A,$A40,'Week1'!$H:$H)+SUMIF('Week2'!$A:$A,$A40,'Week2'!$H:$H)+SUMIF('Week3'!$A:$A,$A40,'Week3'!$H:$H)+SUMIF('Week4'!$A:$A,$A40,'Week4'!$H:$H)</f>
        <v/>
      </c>
      <c r="I40" s="7">
        <f>SUMIF('Week1'!$A:$A,$A40,'Week1'!$I:$I)+SUMIF('Week2'!$A:$A,$A40,'Week2'!$I:$I)+SUMIF('Week3'!$A:$A,$A40,'Week3'!$I:$I)+SUMIF('Week4'!$A:$A,$A40,'Week4'!$I:$I)</f>
        <v/>
      </c>
      <c r="J40" s="7">
        <f>SUMIF('Week1'!$A:$A,$A40,'Week1'!$J:$J)+SUMIF('Week2'!$A:$A,$A40,'Week2'!$J:$J)+SUMIF('Week3'!$A:$A,$A40,'Week3'!$J:$J)+SUMIF('Week4'!$A:$A,$A40,'Week4'!$J:$J)</f>
        <v/>
      </c>
      <c r="K40" s="7">
        <f>SUMIF('Week1'!$A:$A,$A40,'Week1'!$K:$K)+SUMIF('Week2'!$A:$A,$A40,'Week2'!$K:$K)+SUMIF('Week3'!$A:$A,$A40,'Week3'!$K:$K)+SUMIF('Week4'!$A:$A,$A40,'Week4'!$K:$K)</f>
        <v/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7">
        <f>SUMIF('Week1'!$A:$A,$A41,'Week1'!$D:$D)+SUMIF('Week2'!$A:$A,$A41,'Week2'!$D:$D)+SUMIF('Week3'!$A:$A,$A41,'Week3'!$D:$D)+SUMIF('Week4'!$A:$A,$A41,'Week4'!$D:$D)</f>
        <v/>
      </c>
      <c r="E41" s="7">
        <f>SUMIF('Week1'!$A:$A,$A41,'Week1'!$E:$E)+SUMIF('Week2'!$A:$A,$A41,'Week2'!$E:$E)+SUMIF('Week3'!$A:$A,$A41,'Week3'!$E:$E)+SUMIF('Week4'!$A:$A,$A41,'Week4'!$E:$E)</f>
        <v/>
      </c>
      <c r="F41" s="7">
        <f>SUMIF('Week1'!$A:$A,$A41,'Week1'!$F:$F)+SUMIF('Week2'!$A:$A,$A41,'Week2'!$F:$F)+SUMIF('Week3'!$A:$A,$A41,'Week3'!$F:$F)+SUMIF('Week4'!$A:$A,$A41,'Week4'!$F:$F)</f>
        <v/>
      </c>
      <c r="G41" s="7">
        <f>SUMIF('Week1'!$A:$A,$A41,'Week1'!$G:$G)+SUMIF('Week2'!$A:$A,$A41,'Week2'!$G:$G)+SUMIF('Week3'!$A:$A,$A41,'Week3'!$G:$G)+SUMIF('Week4'!$A:$A,$A41,'Week4'!$G:$G)</f>
        <v/>
      </c>
      <c r="H41" s="7">
        <f>SUMIF('Week1'!$A:$A,$A41,'Week1'!$H:$H)+SUMIF('Week2'!$A:$A,$A41,'Week2'!$H:$H)+SUMIF('Week3'!$A:$A,$A41,'Week3'!$H:$H)+SUMIF('Week4'!$A:$A,$A41,'Week4'!$H:$H)</f>
        <v/>
      </c>
      <c r="I41" s="7">
        <f>SUMIF('Week1'!$A:$A,$A41,'Week1'!$I:$I)+SUMIF('Week2'!$A:$A,$A41,'Week2'!$I:$I)+SUMIF('Week3'!$A:$A,$A41,'Week3'!$I:$I)+SUMIF('Week4'!$A:$A,$A41,'Week4'!$I:$I)</f>
        <v/>
      </c>
      <c r="J41" s="7">
        <f>SUMIF('Week1'!$A:$A,$A41,'Week1'!$J:$J)+SUMIF('Week2'!$A:$A,$A41,'Week2'!$J:$J)+SUMIF('Week3'!$A:$A,$A41,'Week3'!$J:$J)+SUMIF('Week4'!$A:$A,$A41,'Week4'!$J:$J)</f>
        <v/>
      </c>
      <c r="K41" s="7">
        <f>SUMIF('Week1'!$A:$A,$A41,'Week1'!$K:$K)+SUMIF('Week2'!$A:$A,$A41,'Week2'!$K:$K)+SUMIF('Week3'!$A:$A,$A41,'Week3'!$K:$K)+SUMIF('Week4'!$A:$A,$A41,'Week4'!$K:$K)</f>
        <v/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7">
        <f>SUMIF('Week1'!$A:$A,$A42,'Week1'!$D:$D)+SUMIF('Week2'!$A:$A,$A42,'Week2'!$D:$D)+SUMIF('Week3'!$A:$A,$A42,'Week3'!$D:$D)+SUMIF('Week4'!$A:$A,$A42,'Week4'!$D:$D)</f>
        <v/>
      </c>
      <c r="E42" s="7">
        <f>SUMIF('Week1'!$A:$A,$A42,'Week1'!$E:$E)+SUMIF('Week2'!$A:$A,$A42,'Week2'!$E:$E)+SUMIF('Week3'!$A:$A,$A42,'Week3'!$E:$E)+SUMIF('Week4'!$A:$A,$A42,'Week4'!$E:$E)</f>
        <v/>
      </c>
      <c r="F42" s="7">
        <f>SUMIF('Week1'!$A:$A,$A42,'Week1'!$F:$F)+SUMIF('Week2'!$A:$A,$A42,'Week2'!$F:$F)+SUMIF('Week3'!$A:$A,$A42,'Week3'!$F:$F)+SUMIF('Week4'!$A:$A,$A42,'Week4'!$F:$F)</f>
        <v/>
      </c>
      <c r="G42" s="7">
        <f>SUMIF('Week1'!$A:$A,$A42,'Week1'!$G:$G)+SUMIF('Week2'!$A:$A,$A42,'Week2'!$G:$G)+SUMIF('Week3'!$A:$A,$A42,'Week3'!$G:$G)+SUMIF('Week4'!$A:$A,$A42,'Week4'!$G:$G)</f>
        <v/>
      </c>
      <c r="H42" s="7">
        <f>SUMIF('Week1'!$A:$A,$A42,'Week1'!$H:$H)+SUMIF('Week2'!$A:$A,$A42,'Week2'!$H:$H)+SUMIF('Week3'!$A:$A,$A42,'Week3'!$H:$H)+SUMIF('Week4'!$A:$A,$A42,'Week4'!$H:$H)</f>
        <v/>
      </c>
      <c r="I42" s="7">
        <f>SUMIF('Week1'!$A:$A,$A42,'Week1'!$I:$I)+SUMIF('Week2'!$A:$A,$A42,'Week2'!$I:$I)+SUMIF('Week3'!$A:$A,$A42,'Week3'!$I:$I)+SUMIF('Week4'!$A:$A,$A42,'Week4'!$I:$I)</f>
        <v/>
      </c>
      <c r="J42" s="7">
        <f>SUMIF('Week1'!$A:$A,$A42,'Week1'!$J:$J)+SUMIF('Week2'!$A:$A,$A42,'Week2'!$J:$J)+SUMIF('Week3'!$A:$A,$A42,'Week3'!$J:$J)+SUMIF('Week4'!$A:$A,$A42,'Week4'!$J:$J)</f>
        <v/>
      </c>
      <c r="K42" s="7">
        <f>SUMIF('Week1'!$A:$A,$A42,'Week1'!$K:$K)+SUMIF('Week2'!$A:$A,$A42,'Week2'!$K:$K)+SUMIF('Week3'!$A:$A,$A42,'Week3'!$K:$K)+SUMIF('Week4'!$A:$A,$A42,'Week4'!$K:$K)</f>
        <v/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7">
        <f>SUMIF('Week1'!$A:$A,$A43,'Week1'!$D:$D)+SUMIF('Week2'!$A:$A,$A43,'Week2'!$D:$D)+SUMIF('Week3'!$A:$A,$A43,'Week3'!$D:$D)+SUMIF('Week4'!$A:$A,$A43,'Week4'!$D:$D)</f>
        <v/>
      </c>
      <c r="E43" s="7">
        <f>SUMIF('Week1'!$A:$A,$A43,'Week1'!$E:$E)+SUMIF('Week2'!$A:$A,$A43,'Week2'!$E:$E)+SUMIF('Week3'!$A:$A,$A43,'Week3'!$E:$E)+SUMIF('Week4'!$A:$A,$A43,'Week4'!$E:$E)</f>
        <v/>
      </c>
      <c r="F43" s="7">
        <f>SUMIF('Week1'!$A:$A,$A43,'Week1'!$F:$F)+SUMIF('Week2'!$A:$A,$A43,'Week2'!$F:$F)+SUMIF('Week3'!$A:$A,$A43,'Week3'!$F:$F)+SUMIF('Week4'!$A:$A,$A43,'Week4'!$F:$F)</f>
        <v/>
      </c>
      <c r="G43" s="7">
        <f>SUMIF('Week1'!$A:$A,$A43,'Week1'!$G:$G)+SUMIF('Week2'!$A:$A,$A43,'Week2'!$G:$G)+SUMIF('Week3'!$A:$A,$A43,'Week3'!$G:$G)+SUMIF('Week4'!$A:$A,$A43,'Week4'!$G:$G)</f>
        <v/>
      </c>
      <c r="H43" s="7">
        <f>SUMIF('Week1'!$A:$A,$A43,'Week1'!$H:$H)+SUMIF('Week2'!$A:$A,$A43,'Week2'!$H:$H)+SUMIF('Week3'!$A:$A,$A43,'Week3'!$H:$H)+SUMIF('Week4'!$A:$A,$A43,'Week4'!$H:$H)</f>
        <v/>
      </c>
      <c r="I43" s="7">
        <f>SUMIF('Week1'!$A:$A,$A43,'Week1'!$I:$I)+SUMIF('Week2'!$A:$A,$A43,'Week2'!$I:$I)+SUMIF('Week3'!$A:$A,$A43,'Week3'!$I:$I)+SUMIF('Week4'!$A:$A,$A43,'Week4'!$I:$I)</f>
        <v/>
      </c>
      <c r="J43" s="7">
        <f>SUMIF('Week1'!$A:$A,$A43,'Week1'!$J:$J)+SUMIF('Week2'!$A:$A,$A43,'Week2'!$J:$J)+SUMIF('Week3'!$A:$A,$A43,'Week3'!$J:$J)+SUMIF('Week4'!$A:$A,$A43,'Week4'!$J:$J)</f>
        <v/>
      </c>
      <c r="K43" s="7">
        <f>SUMIF('Week1'!$A:$A,$A43,'Week1'!$K:$K)+SUMIF('Week2'!$A:$A,$A43,'Week2'!$K:$K)+SUMIF('Week3'!$A:$A,$A43,'Week3'!$K:$K)+SUMIF('Week4'!$A:$A,$A43,'Week4'!$K:$K)</f>
        <v/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7">
        <f>SUMIF('Week1'!$A:$A,$A44,'Week1'!$D:$D)+SUMIF('Week2'!$A:$A,$A44,'Week2'!$D:$D)+SUMIF('Week3'!$A:$A,$A44,'Week3'!$D:$D)+SUMIF('Week4'!$A:$A,$A44,'Week4'!$D:$D)</f>
        <v/>
      </c>
      <c r="E44" s="7">
        <f>SUMIF('Week1'!$A:$A,$A44,'Week1'!$E:$E)+SUMIF('Week2'!$A:$A,$A44,'Week2'!$E:$E)+SUMIF('Week3'!$A:$A,$A44,'Week3'!$E:$E)+SUMIF('Week4'!$A:$A,$A44,'Week4'!$E:$E)</f>
        <v/>
      </c>
      <c r="F44" s="7">
        <f>SUMIF('Week1'!$A:$A,$A44,'Week1'!$F:$F)+SUMIF('Week2'!$A:$A,$A44,'Week2'!$F:$F)+SUMIF('Week3'!$A:$A,$A44,'Week3'!$F:$F)+SUMIF('Week4'!$A:$A,$A44,'Week4'!$F:$F)</f>
        <v/>
      </c>
      <c r="G44" s="7">
        <f>SUMIF('Week1'!$A:$A,$A44,'Week1'!$G:$G)+SUMIF('Week2'!$A:$A,$A44,'Week2'!$G:$G)+SUMIF('Week3'!$A:$A,$A44,'Week3'!$G:$G)+SUMIF('Week4'!$A:$A,$A44,'Week4'!$G:$G)</f>
        <v/>
      </c>
      <c r="H44" s="7">
        <f>SUMIF('Week1'!$A:$A,$A44,'Week1'!$H:$H)+SUMIF('Week2'!$A:$A,$A44,'Week2'!$H:$H)+SUMIF('Week3'!$A:$A,$A44,'Week3'!$H:$H)+SUMIF('Week4'!$A:$A,$A44,'Week4'!$H:$H)</f>
        <v/>
      </c>
      <c r="I44" s="7">
        <f>SUMIF('Week1'!$A:$A,$A44,'Week1'!$I:$I)+SUMIF('Week2'!$A:$A,$A44,'Week2'!$I:$I)+SUMIF('Week3'!$A:$A,$A44,'Week3'!$I:$I)+SUMIF('Week4'!$A:$A,$A44,'Week4'!$I:$I)</f>
        <v/>
      </c>
      <c r="J44" s="7">
        <f>SUMIF('Week1'!$A:$A,$A44,'Week1'!$J:$J)+SUMIF('Week2'!$A:$A,$A44,'Week2'!$J:$J)+SUMIF('Week3'!$A:$A,$A44,'Week3'!$J:$J)+SUMIF('Week4'!$A:$A,$A44,'Week4'!$J:$J)</f>
        <v/>
      </c>
      <c r="K44" s="7">
        <f>SUMIF('Week1'!$A:$A,$A44,'Week1'!$K:$K)+SUMIF('Week2'!$A:$A,$A44,'Week2'!$K:$K)+SUMIF('Week3'!$A:$A,$A44,'Week3'!$K:$K)+SUMIF('Week4'!$A:$A,$A44,'Week4'!$K:$K)</f>
        <v/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7">
        <f>SUMIF('Week1'!$A:$A,$A45,'Week1'!$D:$D)+SUMIF('Week2'!$A:$A,$A45,'Week2'!$D:$D)+SUMIF('Week3'!$A:$A,$A45,'Week3'!$D:$D)+SUMIF('Week4'!$A:$A,$A45,'Week4'!$D:$D)</f>
        <v/>
      </c>
      <c r="E45" s="7">
        <f>SUMIF('Week1'!$A:$A,$A45,'Week1'!$E:$E)+SUMIF('Week2'!$A:$A,$A45,'Week2'!$E:$E)+SUMIF('Week3'!$A:$A,$A45,'Week3'!$E:$E)+SUMIF('Week4'!$A:$A,$A45,'Week4'!$E:$E)</f>
        <v/>
      </c>
      <c r="F45" s="7">
        <f>SUMIF('Week1'!$A:$A,$A45,'Week1'!$F:$F)+SUMIF('Week2'!$A:$A,$A45,'Week2'!$F:$F)+SUMIF('Week3'!$A:$A,$A45,'Week3'!$F:$F)+SUMIF('Week4'!$A:$A,$A45,'Week4'!$F:$F)</f>
        <v/>
      </c>
      <c r="G45" s="7">
        <f>SUMIF('Week1'!$A:$A,$A45,'Week1'!$G:$G)+SUMIF('Week2'!$A:$A,$A45,'Week2'!$G:$G)+SUMIF('Week3'!$A:$A,$A45,'Week3'!$G:$G)+SUMIF('Week4'!$A:$A,$A45,'Week4'!$G:$G)</f>
        <v/>
      </c>
      <c r="H45" s="7">
        <f>SUMIF('Week1'!$A:$A,$A45,'Week1'!$H:$H)+SUMIF('Week2'!$A:$A,$A45,'Week2'!$H:$H)+SUMIF('Week3'!$A:$A,$A45,'Week3'!$H:$H)+SUMIF('Week4'!$A:$A,$A45,'Week4'!$H:$H)</f>
        <v/>
      </c>
      <c r="I45" s="7">
        <f>SUMIF('Week1'!$A:$A,$A45,'Week1'!$I:$I)+SUMIF('Week2'!$A:$A,$A45,'Week2'!$I:$I)+SUMIF('Week3'!$A:$A,$A45,'Week3'!$I:$I)+SUMIF('Week4'!$A:$A,$A45,'Week4'!$I:$I)</f>
        <v/>
      </c>
      <c r="J45" s="7">
        <f>SUMIF('Week1'!$A:$A,$A45,'Week1'!$J:$J)+SUMIF('Week2'!$A:$A,$A45,'Week2'!$J:$J)+SUMIF('Week3'!$A:$A,$A45,'Week3'!$J:$J)+SUMIF('Week4'!$A:$A,$A45,'Week4'!$J:$J)</f>
        <v/>
      </c>
      <c r="K45" s="7">
        <f>SUMIF('Week1'!$A:$A,$A45,'Week1'!$K:$K)+SUMIF('Week2'!$A:$A,$A45,'Week2'!$K:$K)+SUMIF('Week3'!$A:$A,$A45,'Week3'!$K:$K)+SUMIF('Week4'!$A:$A,$A45,'Week4'!$K:$K)</f>
        <v/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7">
        <f>SUMIF('Week1'!$A:$A,$A46,'Week1'!$D:$D)+SUMIF('Week2'!$A:$A,$A46,'Week2'!$D:$D)+SUMIF('Week3'!$A:$A,$A46,'Week3'!$D:$D)+SUMIF('Week4'!$A:$A,$A46,'Week4'!$D:$D)</f>
        <v/>
      </c>
      <c r="E46" s="7">
        <f>SUMIF('Week1'!$A:$A,$A46,'Week1'!$E:$E)+SUMIF('Week2'!$A:$A,$A46,'Week2'!$E:$E)+SUMIF('Week3'!$A:$A,$A46,'Week3'!$E:$E)+SUMIF('Week4'!$A:$A,$A46,'Week4'!$E:$E)</f>
        <v/>
      </c>
      <c r="F46" s="7">
        <f>SUMIF('Week1'!$A:$A,$A46,'Week1'!$F:$F)+SUMIF('Week2'!$A:$A,$A46,'Week2'!$F:$F)+SUMIF('Week3'!$A:$A,$A46,'Week3'!$F:$F)+SUMIF('Week4'!$A:$A,$A46,'Week4'!$F:$F)</f>
        <v/>
      </c>
      <c r="G46" s="7">
        <f>SUMIF('Week1'!$A:$A,$A46,'Week1'!$G:$G)+SUMIF('Week2'!$A:$A,$A46,'Week2'!$G:$G)+SUMIF('Week3'!$A:$A,$A46,'Week3'!$G:$G)+SUMIF('Week4'!$A:$A,$A46,'Week4'!$G:$G)</f>
        <v/>
      </c>
      <c r="H46" s="7">
        <f>SUMIF('Week1'!$A:$A,$A46,'Week1'!$H:$H)+SUMIF('Week2'!$A:$A,$A46,'Week2'!$H:$H)+SUMIF('Week3'!$A:$A,$A46,'Week3'!$H:$H)+SUMIF('Week4'!$A:$A,$A46,'Week4'!$H:$H)</f>
        <v/>
      </c>
      <c r="I46" s="7">
        <f>SUMIF('Week1'!$A:$A,$A46,'Week1'!$I:$I)+SUMIF('Week2'!$A:$A,$A46,'Week2'!$I:$I)+SUMIF('Week3'!$A:$A,$A46,'Week3'!$I:$I)+SUMIF('Week4'!$A:$A,$A46,'Week4'!$I:$I)</f>
        <v/>
      </c>
      <c r="J46" s="7">
        <f>SUMIF('Week1'!$A:$A,$A46,'Week1'!$J:$J)+SUMIF('Week2'!$A:$A,$A46,'Week2'!$J:$J)+SUMIF('Week3'!$A:$A,$A46,'Week3'!$J:$J)+SUMIF('Week4'!$A:$A,$A46,'Week4'!$J:$J)</f>
        <v/>
      </c>
      <c r="K46" s="7">
        <f>SUMIF('Week1'!$A:$A,$A46,'Week1'!$K:$K)+SUMIF('Week2'!$A:$A,$A46,'Week2'!$K:$K)+SUMIF('Week3'!$A:$A,$A46,'Week3'!$K:$K)+SUMIF('Week4'!$A:$A,$A46,'Week4'!$K:$K)</f>
        <v/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7">
        <f>SUMIF('Week1'!$A:$A,$A47,'Week1'!$D:$D)+SUMIF('Week2'!$A:$A,$A47,'Week2'!$D:$D)+SUMIF('Week3'!$A:$A,$A47,'Week3'!$D:$D)+SUMIF('Week4'!$A:$A,$A47,'Week4'!$D:$D)</f>
        <v/>
      </c>
      <c r="E47" s="7">
        <f>SUMIF('Week1'!$A:$A,$A47,'Week1'!$E:$E)+SUMIF('Week2'!$A:$A,$A47,'Week2'!$E:$E)+SUMIF('Week3'!$A:$A,$A47,'Week3'!$E:$E)+SUMIF('Week4'!$A:$A,$A47,'Week4'!$E:$E)</f>
        <v/>
      </c>
      <c r="F47" s="7">
        <f>SUMIF('Week1'!$A:$A,$A47,'Week1'!$F:$F)+SUMIF('Week2'!$A:$A,$A47,'Week2'!$F:$F)+SUMIF('Week3'!$A:$A,$A47,'Week3'!$F:$F)+SUMIF('Week4'!$A:$A,$A47,'Week4'!$F:$F)</f>
        <v/>
      </c>
      <c r="G47" s="7">
        <f>SUMIF('Week1'!$A:$A,$A47,'Week1'!$G:$G)+SUMIF('Week2'!$A:$A,$A47,'Week2'!$G:$G)+SUMIF('Week3'!$A:$A,$A47,'Week3'!$G:$G)+SUMIF('Week4'!$A:$A,$A47,'Week4'!$G:$G)</f>
        <v/>
      </c>
      <c r="H47" s="7">
        <f>SUMIF('Week1'!$A:$A,$A47,'Week1'!$H:$H)+SUMIF('Week2'!$A:$A,$A47,'Week2'!$H:$H)+SUMIF('Week3'!$A:$A,$A47,'Week3'!$H:$H)+SUMIF('Week4'!$A:$A,$A47,'Week4'!$H:$H)</f>
        <v/>
      </c>
      <c r="I47" s="7">
        <f>SUMIF('Week1'!$A:$A,$A47,'Week1'!$I:$I)+SUMIF('Week2'!$A:$A,$A47,'Week2'!$I:$I)+SUMIF('Week3'!$A:$A,$A47,'Week3'!$I:$I)+SUMIF('Week4'!$A:$A,$A47,'Week4'!$I:$I)</f>
        <v/>
      </c>
      <c r="J47" s="7">
        <f>SUMIF('Week1'!$A:$A,$A47,'Week1'!$J:$J)+SUMIF('Week2'!$A:$A,$A47,'Week2'!$J:$J)+SUMIF('Week3'!$A:$A,$A47,'Week3'!$J:$J)+SUMIF('Week4'!$A:$A,$A47,'Week4'!$J:$J)</f>
        <v/>
      </c>
      <c r="K47" s="7">
        <f>SUMIF('Week1'!$A:$A,$A47,'Week1'!$K:$K)+SUMIF('Week2'!$A:$A,$A47,'Week2'!$K:$K)+SUMIF('Week3'!$A:$A,$A47,'Week3'!$K:$K)+SUMIF('Week4'!$A:$A,$A47,'Week4'!$K:$K)</f>
        <v/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7">
        <f>SUMIF('Week1'!$A:$A,$A48,'Week1'!$D:$D)+SUMIF('Week2'!$A:$A,$A48,'Week2'!$D:$D)+SUMIF('Week3'!$A:$A,$A48,'Week3'!$D:$D)+SUMIF('Week4'!$A:$A,$A48,'Week4'!$D:$D)</f>
        <v/>
      </c>
      <c r="E48" s="7">
        <f>SUMIF('Week1'!$A:$A,$A48,'Week1'!$E:$E)+SUMIF('Week2'!$A:$A,$A48,'Week2'!$E:$E)+SUMIF('Week3'!$A:$A,$A48,'Week3'!$E:$E)+SUMIF('Week4'!$A:$A,$A48,'Week4'!$E:$E)</f>
        <v/>
      </c>
      <c r="F48" s="7">
        <f>SUMIF('Week1'!$A:$A,$A48,'Week1'!$F:$F)+SUMIF('Week2'!$A:$A,$A48,'Week2'!$F:$F)+SUMIF('Week3'!$A:$A,$A48,'Week3'!$F:$F)+SUMIF('Week4'!$A:$A,$A48,'Week4'!$F:$F)</f>
        <v/>
      </c>
      <c r="G48" s="7">
        <f>SUMIF('Week1'!$A:$A,$A48,'Week1'!$G:$G)+SUMIF('Week2'!$A:$A,$A48,'Week2'!$G:$G)+SUMIF('Week3'!$A:$A,$A48,'Week3'!$G:$G)+SUMIF('Week4'!$A:$A,$A48,'Week4'!$G:$G)</f>
        <v/>
      </c>
      <c r="H48" s="7">
        <f>SUMIF('Week1'!$A:$A,$A48,'Week1'!$H:$H)+SUMIF('Week2'!$A:$A,$A48,'Week2'!$H:$H)+SUMIF('Week3'!$A:$A,$A48,'Week3'!$H:$H)+SUMIF('Week4'!$A:$A,$A48,'Week4'!$H:$H)</f>
        <v/>
      </c>
      <c r="I48" s="7">
        <f>SUMIF('Week1'!$A:$A,$A48,'Week1'!$I:$I)+SUMIF('Week2'!$A:$A,$A48,'Week2'!$I:$I)+SUMIF('Week3'!$A:$A,$A48,'Week3'!$I:$I)+SUMIF('Week4'!$A:$A,$A48,'Week4'!$I:$I)</f>
        <v/>
      </c>
      <c r="J48" s="7">
        <f>SUMIF('Week1'!$A:$A,$A48,'Week1'!$J:$J)+SUMIF('Week2'!$A:$A,$A48,'Week2'!$J:$J)+SUMIF('Week3'!$A:$A,$A48,'Week3'!$J:$J)+SUMIF('Week4'!$A:$A,$A48,'Week4'!$J:$J)</f>
        <v/>
      </c>
      <c r="K48" s="7">
        <f>SUMIF('Week1'!$A:$A,$A48,'Week1'!$K:$K)+SUMIF('Week2'!$A:$A,$A48,'Week2'!$K:$K)+SUMIF('Week3'!$A:$A,$A48,'Week3'!$K:$K)+SUMIF('Week4'!$A:$A,$A48,'Week4'!$K:$K)</f>
        <v/>
      </c>
    </row>
    <row r="49">
      <c r="A49" s="6" t="inlineStr">
        <is>
          <t>ANGELO VAZ EOLL</t>
        </is>
      </c>
      <c r="B49" s="6" t="inlineStr">
        <is>
          <t>A-EL PKNG SLEEVING</t>
        </is>
      </c>
      <c r="C49" s="7" t="n">
        <v>1524</v>
      </c>
      <c r="D49" s="7">
        <f>SUMIF('Week1'!$A:$A,$A49,'Week1'!$D:$D)+SUMIF('Week2'!$A:$A,$A49,'Week2'!$D:$D)+SUMIF('Week3'!$A:$A,$A49,'Week3'!$D:$D)+SUMIF('Week4'!$A:$A,$A49,'Week4'!$D:$D)</f>
        <v/>
      </c>
      <c r="E49" s="7">
        <f>SUMIF('Week1'!$A:$A,$A49,'Week1'!$E:$E)+SUMIF('Week2'!$A:$A,$A49,'Week2'!$E:$E)+SUMIF('Week3'!$A:$A,$A49,'Week3'!$E:$E)+SUMIF('Week4'!$A:$A,$A49,'Week4'!$E:$E)</f>
        <v/>
      </c>
      <c r="F49" s="7">
        <f>SUMIF('Week1'!$A:$A,$A49,'Week1'!$F:$F)+SUMIF('Week2'!$A:$A,$A49,'Week2'!$F:$F)+SUMIF('Week3'!$A:$A,$A49,'Week3'!$F:$F)+SUMIF('Week4'!$A:$A,$A49,'Week4'!$F:$F)</f>
        <v/>
      </c>
      <c r="G49" s="7">
        <f>SUMIF('Week1'!$A:$A,$A49,'Week1'!$G:$G)+SUMIF('Week2'!$A:$A,$A49,'Week2'!$G:$G)+SUMIF('Week3'!$A:$A,$A49,'Week3'!$G:$G)+SUMIF('Week4'!$A:$A,$A49,'Week4'!$G:$G)</f>
        <v/>
      </c>
      <c r="H49" s="7">
        <f>SUMIF('Week1'!$A:$A,$A49,'Week1'!$H:$H)+SUMIF('Week2'!$A:$A,$A49,'Week2'!$H:$H)+SUMIF('Week3'!$A:$A,$A49,'Week3'!$H:$H)+SUMIF('Week4'!$A:$A,$A49,'Week4'!$H:$H)</f>
        <v/>
      </c>
      <c r="I49" s="7">
        <f>SUMIF('Week1'!$A:$A,$A49,'Week1'!$I:$I)+SUMIF('Week2'!$A:$A,$A49,'Week2'!$I:$I)+SUMIF('Week3'!$A:$A,$A49,'Week3'!$I:$I)+SUMIF('Week4'!$A:$A,$A49,'Week4'!$I:$I)</f>
        <v/>
      </c>
      <c r="J49" s="7">
        <f>SUMIF('Week1'!$A:$A,$A49,'Week1'!$J:$J)+SUMIF('Week2'!$A:$A,$A49,'Week2'!$J:$J)+SUMIF('Week3'!$A:$A,$A49,'Week3'!$J:$J)+SUMIF('Week4'!$A:$A,$A49,'Week4'!$J:$J)</f>
        <v/>
      </c>
      <c r="K49" s="7">
        <f>SUMIF('Week1'!$A:$A,$A49,'Week1'!$K:$K)+SUMIF('Week2'!$A:$A,$A49,'Week2'!$K:$K)+SUMIF('Week3'!$A:$A,$A49,'Week3'!$K:$K)+SUMIF('Week4'!$A:$A,$A49,'Week4'!$K:$K)</f>
        <v/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7">
        <f>SUMIF('Week1'!$A:$A,$A50,'Week1'!$D:$D)+SUMIF('Week2'!$A:$A,$A50,'Week2'!$D:$D)+SUMIF('Week3'!$A:$A,$A50,'Week3'!$D:$D)+SUMIF('Week4'!$A:$A,$A50,'Week4'!$D:$D)</f>
        <v/>
      </c>
      <c r="E50" s="7">
        <f>SUMIF('Week1'!$A:$A,$A50,'Week1'!$E:$E)+SUMIF('Week2'!$A:$A,$A50,'Week2'!$E:$E)+SUMIF('Week3'!$A:$A,$A50,'Week3'!$E:$E)+SUMIF('Week4'!$A:$A,$A50,'Week4'!$E:$E)</f>
        <v/>
      </c>
      <c r="F50" s="7">
        <f>SUMIF('Week1'!$A:$A,$A50,'Week1'!$F:$F)+SUMIF('Week2'!$A:$A,$A50,'Week2'!$F:$F)+SUMIF('Week3'!$A:$A,$A50,'Week3'!$F:$F)+SUMIF('Week4'!$A:$A,$A50,'Week4'!$F:$F)</f>
        <v/>
      </c>
      <c r="G50" s="7">
        <f>SUMIF('Week1'!$A:$A,$A50,'Week1'!$G:$G)+SUMIF('Week2'!$A:$A,$A50,'Week2'!$G:$G)+SUMIF('Week3'!$A:$A,$A50,'Week3'!$G:$G)+SUMIF('Week4'!$A:$A,$A50,'Week4'!$G:$G)</f>
        <v/>
      </c>
      <c r="H50" s="7">
        <f>SUMIF('Week1'!$A:$A,$A50,'Week1'!$H:$H)+SUMIF('Week2'!$A:$A,$A50,'Week2'!$H:$H)+SUMIF('Week3'!$A:$A,$A50,'Week3'!$H:$H)+SUMIF('Week4'!$A:$A,$A50,'Week4'!$H:$H)</f>
        <v/>
      </c>
      <c r="I50" s="7">
        <f>SUMIF('Week1'!$A:$A,$A50,'Week1'!$I:$I)+SUMIF('Week2'!$A:$A,$A50,'Week2'!$I:$I)+SUMIF('Week3'!$A:$A,$A50,'Week3'!$I:$I)+SUMIF('Week4'!$A:$A,$A50,'Week4'!$I:$I)</f>
        <v/>
      </c>
      <c r="J50" s="7">
        <f>SUMIF('Week1'!$A:$A,$A50,'Week1'!$J:$J)+SUMIF('Week2'!$A:$A,$A50,'Week2'!$J:$J)+SUMIF('Week3'!$A:$A,$A50,'Week3'!$J:$J)+SUMIF('Week4'!$A:$A,$A50,'Week4'!$J:$J)</f>
        <v/>
      </c>
      <c r="K50" s="7">
        <f>SUMIF('Week1'!$A:$A,$A50,'Week1'!$K:$K)+SUMIF('Week2'!$A:$A,$A50,'Week2'!$K:$K)+SUMIF('Week3'!$A:$A,$A50,'Week3'!$K:$K)+SUMIF('Week4'!$A:$A,$A50,'Week4'!$K:$K)</f>
        <v/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7">
        <f>SUMIF('Week1'!$A:$A,$A51,'Week1'!$D:$D)+SUMIF('Week2'!$A:$A,$A51,'Week2'!$D:$D)+SUMIF('Week3'!$A:$A,$A51,'Week3'!$D:$D)+SUMIF('Week4'!$A:$A,$A51,'Week4'!$D:$D)</f>
        <v/>
      </c>
      <c r="E51" s="7">
        <f>SUMIF('Week1'!$A:$A,$A51,'Week1'!$E:$E)+SUMIF('Week2'!$A:$A,$A51,'Week2'!$E:$E)+SUMIF('Week3'!$A:$A,$A51,'Week3'!$E:$E)+SUMIF('Week4'!$A:$A,$A51,'Week4'!$E:$E)</f>
        <v/>
      </c>
      <c r="F51" s="7">
        <f>SUMIF('Week1'!$A:$A,$A51,'Week1'!$F:$F)+SUMIF('Week2'!$A:$A,$A51,'Week2'!$F:$F)+SUMIF('Week3'!$A:$A,$A51,'Week3'!$F:$F)+SUMIF('Week4'!$A:$A,$A51,'Week4'!$F:$F)</f>
        <v/>
      </c>
      <c r="G51" s="7">
        <f>SUMIF('Week1'!$A:$A,$A51,'Week1'!$G:$G)+SUMIF('Week2'!$A:$A,$A51,'Week2'!$G:$G)+SUMIF('Week3'!$A:$A,$A51,'Week3'!$G:$G)+SUMIF('Week4'!$A:$A,$A51,'Week4'!$G:$G)</f>
        <v/>
      </c>
      <c r="H51" s="7">
        <f>SUMIF('Week1'!$A:$A,$A51,'Week1'!$H:$H)+SUMIF('Week2'!$A:$A,$A51,'Week2'!$H:$H)+SUMIF('Week3'!$A:$A,$A51,'Week3'!$H:$H)+SUMIF('Week4'!$A:$A,$A51,'Week4'!$H:$H)</f>
        <v/>
      </c>
      <c r="I51" s="7">
        <f>SUMIF('Week1'!$A:$A,$A51,'Week1'!$I:$I)+SUMIF('Week2'!$A:$A,$A51,'Week2'!$I:$I)+SUMIF('Week3'!$A:$A,$A51,'Week3'!$I:$I)+SUMIF('Week4'!$A:$A,$A51,'Week4'!$I:$I)</f>
        <v/>
      </c>
      <c r="J51" s="7">
        <f>SUMIF('Week1'!$A:$A,$A51,'Week1'!$J:$J)+SUMIF('Week2'!$A:$A,$A51,'Week2'!$J:$J)+SUMIF('Week3'!$A:$A,$A51,'Week3'!$J:$J)+SUMIF('Week4'!$A:$A,$A51,'Week4'!$J:$J)</f>
        <v/>
      </c>
      <c r="K51" s="7">
        <f>SUMIF('Week1'!$A:$A,$A51,'Week1'!$K:$K)+SUMIF('Week2'!$A:$A,$A51,'Week2'!$K:$K)+SUMIF('Week3'!$A:$A,$A51,'Week3'!$K:$K)+SUMIF('Week4'!$A:$A,$A51,'Week4'!$K:$K)</f>
        <v/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7">
        <f>SUMIF('Week1'!$A:$A,$A52,'Week1'!$D:$D)+SUMIF('Week2'!$A:$A,$A52,'Week2'!$D:$D)+SUMIF('Week3'!$A:$A,$A52,'Week3'!$D:$D)+SUMIF('Week4'!$A:$A,$A52,'Week4'!$D:$D)</f>
        <v/>
      </c>
      <c r="E52" s="7">
        <f>SUMIF('Week1'!$A:$A,$A52,'Week1'!$E:$E)+SUMIF('Week2'!$A:$A,$A52,'Week2'!$E:$E)+SUMIF('Week3'!$A:$A,$A52,'Week3'!$E:$E)+SUMIF('Week4'!$A:$A,$A52,'Week4'!$E:$E)</f>
        <v/>
      </c>
      <c r="F52" s="7">
        <f>SUMIF('Week1'!$A:$A,$A52,'Week1'!$F:$F)+SUMIF('Week2'!$A:$A,$A52,'Week2'!$F:$F)+SUMIF('Week3'!$A:$A,$A52,'Week3'!$F:$F)+SUMIF('Week4'!$A:$A,$A52,'Week4'!$F:$F)</f>
        <v/>
      </c>
      <c r="G52" s="7">
        <f>SUMIF('Week1'!$A:$A,$A52,'Week1'!$G:$G)+SUMIF('Week2'!$A:$A,$A52,'Week2'!$G:$G)+SUMIF('Week3'!$A:$A,$A52,'Week3'!$G:$G)+SUMIF('Week4'!$A:$A,$A52,'Week4'!$G:$G)</f>
        <v/>
      </c>
      <c r="H52" s="7">
        <f>SUMIF('Week1'!$A:$A,$A52,'Week1'!$H:$H)+SUMIF('Week2'!$A:$A,$A52,'Week2'!$H:$H)+SUMIF('Week3'!$A:$A,$A52,'Week3'!$H:$H)+SUMIF('Week4'!$A:$A,$A52,'Week4'!$H:$H)</f>
        <v/>
      </c>
      <c r="I52" s="7">
        <f>SUMIF('Week1'!$A:$A,$A52,'Week1'!$I:$I)+SUMIF('Week2'!$A:$A,$A52,'Week2'!$I:$I)+SUMIF('Week3'!$A:$A,$A52,'Week3'!$I:$I)+SUMIF('Week4'!$A:$A,$A52,'Week4'!$I:$I)</f>
        <v/>
      </c>
      <c r="J52" s="7">
        <f>SUMIF('Week1'!$A:$A,$A52,'Week1'!$J:$J)+SUMIF('Week2'!$A:$A,$A52,'Week2'!$J:$J)+SUMIF('Week3'!$A:$A,$A52,'Week3'!$J:$J)+SUMIF('Week4'!$A:$A,$A52,'Week4'!$J:$J)</f>
        <v/>
      </c>
      <c r="K52" s="7">
        <f>SUMIF('Week1'!$A:$A,$A52,'Week1'!$K:$K)+SUMIF('Week2'!$A:$A,$A52,'Week2'!$K:$K)+SUMIF('Week3'!$A:$A,$A52,'Week3'!$K:$K)+SUMIF('Week4'!$A:$A,$A52,'Week4'!$K:$K)</f>
        <v/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7">
        <f>SUMIF('Week1'!$A:$A,$A53,'Week1'!$D:$D)+SUMIF('Week2'!$A:$A,$A53,'Week2'!$D:$D)+SUMIF('Week3'!$A:$A,$A53,'Week3'!$D:$D)+SUMIF('Week4'!$A:$A,$A53,'Week4'!$D:$D)</f>
        <v/>
      </c>
      <c r="E53" s="7">
        <f>SUMIF('Week1'!$A:$A,$A53,'Week1'!$E:$E)+SUMIF('Week2'!$A:$A,$A53,'Week2'!$E:$E)+SUMIF('Week3'!$A:$A,$A53,'Week3'!$E:$E)+SUMIF('Week4'!$A:$A,$A53,'Week4'!$E:$E)</f>
        <v/>
      </c>
      <c r="F53" s="7">
        <f>SUMIF('Week1'!$A:$A,$A53,'Week1'!$F:$F)+SUMIF('Week2'!$A:$A,$A53,'Week2'!$F:$F)+SUMIF('Week3'!$A:$A,$A53,'Week3'!$F:$F)+SUMIF('Week4'!$A:$A,$A53,'Week4'!$F:$F)</f>
        <v/>
      </c>
      <c r="G53" s="7">
        <f>SUMIF('Week1'!$A:$A,$A53,'Week1'!$G:$G)+SUMIF('Week2'!$A:$A,$A53,'Week2'!$G:$G)+SUMIF('Week3'!$A:$A,$A53,'Week3'!$G:$G)+SUMIF('Week4'!$A:$A,$A53,'Week4'!$G:$G)</f>
        <v/>
      </c>
      <c r="H53" s="7">
        <f>SUMIF('Week1'!$A:$A,$A53,'Week1'!$H:$H)+SUMIF('Week2'!$A:$A,$A53,'Week2'!$H:$H)+SUMIF('Week3'!$A:$A,$A53,'Week3'!$H:$H)+SUMIF('Week4'!$A:$A,$A53,'Week4'!$H:$H)</f>
        <v/>
      </c>
      <c r="I53" s="7">
        <f>SUMIF('Week1'!$A:$A,$A53,'Week1'!$I:$I)+SUMIF('Week2'!$A:$A,$A53,'Week2'!$I:$I)+SUMIF('Week3'!$A:$A,$A53,'Week3'!$I:$I)+SUMIF('Week4'!$A:$A,$A53,'Week4'!$I:$I)</f>
        <v/>
      </c>
      <c r="J53" s="7">
        <f>SUMIF('Week1'!$A:$A,$A53,'Week1'!$J:$J)+SUMIF('Week2'!$A:$A,$A53,'Week2'!$J:$J)+SUMIF('Week3'!$A:$A,$A53,'Week3'!$J:$J)+SUMIF('Week4'!$A:$A,$A53,'Week4'!$J:$J)</f>
        <v/>
      </c>
      <c r="K53" s="7">
        <f>SUMIF('Week1'!$A:$A,$A53,'Week1'!$K:$K)+SUMIF('Week2'!$A:$A,$A53,'Week2'!$K:$K)+SUMIF('Week3'!$A:$A,$A53,'Week3'!$K:$K)+SUMIF('Week4'!$A:$A,$A53,'Week4'!$K:$K)</f>
        <v/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7">
        <f>SUMIF('Week1'!$A:$A,$A54,'Week1'!$D:$D)+SUMIF('Week2'!$A:$A,$A54,'Week2'!$D:$D)+SUMIF('Week3'!$A:$A,$A54,'Week3'!$D:$D)+SUMIF('Week4'!$A:$A,$A54,'Week4'!$D:$D)</f>
        <v/>
      </c>
      <c r="E54" s="7">
        <f>SUMIF('Week1'!$A:$A,$A54,'Week1'!$E:$E)+SUMIF('Week2'!$A:$A,$A54,'Week2'!$E:$E)+SUMIF('Week3'!$A:$A,$A54,'Week3'!$E:$E)+SUMIF('Week4'!$A:$A,$A54,'Week4'!$E:$E)</f>
        <v/>
      </c>
      <c r="F54" s="7">
        <f>SUMIF('Week1'!$A:$A,$A54,'Week1'!$F:$F)+SUMIF('Week2'!$A:$A,$A54,'Week2'!$F:$F)+SUMIF('Week3'!$A:$A,$A54,'Week3'!$F:$F)+SUMIF('Week4'!$A:$A,$A54,'Week4'!$F:$F)</f>
        <v/>
      </c>
      <c r="G54" s="7">
        <f>SUMIF('Week1'!$A:$A,$A54,'Week1'!$G:$G)+SUMIF('Week2'!$A:$A,$A54,'Week2'!$G:$G)+SUMIF('Week3'!$A:$A,$A54,'Week3'!$G:$G)+SUMIF('Week4'!$A:$A,$A54,'Week4'!$G:$G)</f>
        <v/>
      </c>
      <c r="H54" s="7">
        <f>SUMIF('Week1'!$A:$A,$A54,'Week1'!$H:$H)+SUMIF('Week2'!$A:$A,$A54,'Week2'!$H:$H)+SUMIF('Week3'!$A:$A,$A54,'Week3'!$H:$H)+SUMIF('Week4'!$A:$A,$A54,'Week4'!$H:$H)</f>
        <v/>
      </c>
      <c r="I54" s="7">
        <f>SUMIF('Week1'!$A:$A,$A54,'Week1'!$I:$I)+SUMIF('Week2'!$A:$A,$A54,'Week2'!$I:$I)+SUMIF('Week3'!$A:$A,$A54,'Week3'!$I:$I)+SUMIF('Week4'!$A:$A,$A54,'Week4'!$I:$I)</f>
        <v/>
      </c>
      <c r="J54" s="7">
        <f>SUMIF('Week1'!$A:$A,$A54,'Week1'!$J:$J)+SUMIF('Week2'!$A:$A,$A54,'Week2'!$J:$J)+SUMIF('Week3'!$A:$A,$A54,'Week3'!$J:$J)+SUMIF('Week4'!$A:$A,$A54,'Week4'!$J:$J)</f>
        <v/>
      </c>
      <c r="K54" s="7">
        <f>SUMIF('Week1'!$A:$A,$A54,'Week1'!$K:$K)+SUMIF('Week2'!$A:$A,$A54,'Week2'!$K:$K)+SUMIF('Week3'!$A:$A,$A54,'Week3'!$K:$K)+SUMIF('Week4'!$A:$A,$A54,'Week4'!$K:$K)</f>
        <v/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7">
        <f>SUMIF('Week1'!$A:$A,$A55,'Week1'!$D:$D)+SUMIF('Week2'!$A:$A,$A55,'Week2'!$D:$D)+SUMIF('Week3'!$A:$A,$A55,'Week3'!$D:$D)+SUMIF('Week4'!$A:$A,$A55,'Week4'!$D:$D)</f>
        <v/>
      </c>
      <c r="E55" s="7">
        <f>SUMIF('Week1'!$A:$A,$A55,'Week1'!$E:$E)+SUMIF('Week2'!$A:$A,$A55,'Week2'!$E:$E)+SUMIF('Week3'!$A:$A,$A55,'Week3'!$E:$E)+SUMIF('Week4'!$A:$A,$A55,'Week4'!$E:$E)</f>
        <v/>
      </c>
      <c r="F55" s="7">
        <f>SUMIF('Week1'!$A:$A,$A55,'Week1'!$F:$F)+SUMIF('Week2'!$A:$A,$A55,'Week2'!$F:$F)+SUMIF('Week3'!$A:$A,$A55,'Week3'!$F:$F)+SUMIF('Week4'!$A:$A,$A55,'Week4'!$F:$F)</f>
        <v/>
      </c>
      <c r="G55" s="7">
        <f>SUMIF('Week1'!$A:$A,$A55,'Week1'!$G:$G)+SUMIF('Week2'!$A:$A,$A55,'Week2'!$G:$G)+SUMIF('Week3'!$A:$A,$A55,'Week3'!$G:$G)+SUMIF('Week4'!$A:$A,$A55,'Week4'!$G:$G)</f>
        <v/>
      </c>
      <c r="H55" s="7">
        <f>SUMIF('Week1'!$A:$A,$A55,'Week1'!$H:$H)+SUMIF('Week2'!$A:$A,$A55,'Week2'!$H:$H)+SUMIF('Week3'!$A:$A,$A55,'Week3'!$H:$H)+SUMIF('Week4'!$A:$A,$A55,'Week4'!$H:$H)</f>
        <v/>
      </c>
      <c r="I55" s="7">
        <f>SUMIF('Week1'!$A:$A,$A55,'Week1'!$I:$I)+SUMIF('Week2'!$A:$A,$A55,'Week2'!$I:$I)+SUMIF('Week3'!$A:$A,$A55,'Week3'!$I:$I)+SUMIF('Week4'!$A:$A,$A55,'Week4'!$I:$I)</f>
        <v/>
      </c>
      <c r="J55" s="7">
        <f>SUMIF('Week1'!$A:$A,$A55,'Week1'!$J:$J)+SUMIF('Week2'!$A:$A,$A55,'Week2'!$J:$J)+SUMIF('Week3'!$A:$A,$A55,'Week3'!$J:$J)+SUMIF('Week4'!$A:$A,$A55,'Week4'!$J:$J)</f>
        <v/>
      </c>
      <c r="K55" s="7">
        <f>SUMIF('Week1'!$A:$A,$A55,'Week1'!$K:$K)+SUMIF('Week2'!$A:$A,$A55,'Week2'!$K:$K)+SUMIF('Week3'!$A:$A,$A55,'Week3'!$K:$K)+SUMIF('Week4'!$A:$A,$A55,'Week4'!$K:$K)</f>
        <v/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7">
        <f>SUMIF('Week1'!$A:$A,$A56,'Week1'!$D:$D)+SUMIF('Week2'!$A:$A,$A56,'Week2'!$D:$D)+SUMIF('Week3'!$A:$A,$A56,'Week3'!$D:$D)+SUMIF('Week4'!$A:$A,$A56,'Week4'!$D:$D)</f>
        <v/>
      </c>
      <c r="E56" s="7">
        <f>SUMIF('Week1'!$A:$A,$A56,'Week1'!$E:$E)+SUMIF('Week2'!$A:$A,$A56,'Week2'!$E:$E)+SUMIF('Week3'!$A:$A,$A56,'Week3'!$E:$E)+SUMIF('Week4'!$A:$A,$A56,'Week4'!$E:$E)</f>
        <v/>
      </c>
      <c r="F56" s="7">
        <f>SUMIF('Week1'!$A:$A,$A56,'Week1'!$F:$F)+SUMIF('Week2'!$A:$A,$A56,'Week2'!$F:$F)+SUMIF('Week3'!$A:$A,$A56,'Week3'!$F:$F)+SUMIF('Week4'!$A:$A,$A56,'Week4'!$F:$F)</f>
        <v/>
      </c>
      <c r="G56" s="7">
        <f>SUMIF('Week1'!$A:$A,$A56,'Week1'!$G:$G)+SUMIF('Week2'!$A:$A,$A56,'Week2'!$G:$G)+SUMIF('Week3'!$A:$A,$A56,'Week3'!$G:$G)+SUMIF('Week4'!$A:$A,$A56,'Week4'!$G:$G)</f>
        <v/>
      </c>
      <c r="H56" s="7">
        <f>SUMIF('Week1'!$A:$A,$A56,'Week1'!$H:$H)+SUMIF('Week2'!$A:$A,$A56,'Week2'!$H:$H)+SUMIF('Week3'!$A:$A,$A56,'Week3'!$H:$H)+SUMIF('Week4'!$A:$A,$A56,'Week4'!$H:$H)</f>
        <v/>
      </c>
      <c r="I56" s="7">
        <f>SUMIF('Week1'!$A:$A,$A56,'Week1'!$I:$I)+SUMIF('Week2'!$A:$A,$A56,'Week2'!$I:$I)+SUMIF('Week3'!$A:$A,$A56,'Week3'!$I:$I)+SUMIF('Week4'!$A:$A,$A56,'Week4'!$I:$I)</f>
        <v/>
      </c>
      <c r="J56" s="7">
        <f>SUMIF('Week1'!$A:$A,$A56,'Week1'!$J:$J)+SUMIF('Week2'!$A:$A,$A56,'Week2'!$J:$J)+SUMIF('Week3'!$A:$A,$A56,'Week3'!$J:$J)+SUMIF('Week4'!$A:$A,$A56,'Week4'!$J:$J)</f>
        <v/>
      </c>
      <c r="K56" s="7">
        <f>SUMIF('Week1'!$A:$A,$A56,'Week1'!$K:$K)+SUMIF('Week2'!$A:$A,$A56,'Week2'!$K:$K)+SUMIF('Week3'!$A:$A,$A56,'Week3'!$K:$K)+SUMIF('Week4'!$A:$A,$A56,'Week4'!$K:$K)</f>
        <v/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7">
        <f>SUMIF('Week1'!$A:$A,$A57,'Week1'!$D:$D)+SUMIF('Week2'!$A:$A,$A57,'Week2'!$D:$D)+SUMIF('Week3'!$A:$A,$A57,'Week3'!$D:$D)+SUMIF('Week4'!$A:$A,$A57,'Week4'!$D:$D)</f>
        <v/>
      </c>
      <c r="E57" s="7">
        <f>SUMIF('Week1'!$A:$A,$A57,'Week1'!$E:$E)+SUMIF('Week2'!$A:$A,$A57,'Week2'!$E:$E)+SUMIF('Week3'!$A:$A,$A57,'Week3'!$E:$E)+SUMIF('Week4'!$A:$A,$A57,'Week4'!$E:$E)</f>
        <v/>
      </c>
      <c r="F57" s="7">
        <f>SUMIF('Week1'!$A:$A,$A57,'Week1'!$F:$F)+SUMIF('Week2'!$A:$A,$A57,'Week2'!$F:$F)+SUMIF('Week3'!$A:$A,$A57,'Week3'!$F:$F)+SUMIF('Week4'!$A:$A,$A57,'Week4'!$F:$F)</f>
        <v/>
      </c>
      <c r="G57" s="7">
        <f>SUMIF('Week1'!$A:$A,$A57,'Week1'!$G:$G)+SUMIF('Week2'!$A:$A,$A57,'Week2'!$G:$G)+SUMIF('Week3'!$A:$A,$A57,'Week3'!$G:$G)+SUMIF('Week4'!$A:$A,$A57,'Week4'!$G:$G)</f>
        <v/>
      </c>
      <c r="H57" s="7">
        <f>SUMIF('Week1'!$A:$A,$A57,'Week1'!$H:$H)+SUMIF('Week2'!$A:$A,$A57,'Week2'!$H:$H)+SUMIF('Week3'!$A:$A,$A57,'Week3'!$H:$H)+SUMIF('Week4'!$A:$A,$A57,'Week4'!$H:$H)</f>
        <v/>
      </c>
      <c r="I57" s="7">
        <f>SUMIF('Week1'!$A:$A,$A57,'Week1'!$I:$I)+SUMIF('Week2'!$A:$A,$A57,'Week2'!$I:$I)+SUMIF('Week3'!$A:$A,$A57,'Week3'!$I:$I)+SUMIF('Week4'!$A:$A,$A57,'Week4'!$I:$I)</f>
        <v/>
      </c>
      <c r="J57" s="7">
        <f>SUMIF('Week1'!$A:$A,$A57,'Week1'!$J:$J)+SUMIF('Week2'!$A:$A,$A57,'Week2'!$J:$J)+SUMIF('Week3'!$A:$A,$A57,'Week3'!$J:$J)+SUMIF('Week4'!$A:$A,$A57,'Week4'!$J:$J)</f>
        <v/>
      </c>
      <c r="K57" s="7">
        <f>SUMIF('Week1'!$A:$A,$A57,'Week1'!$K:$K)+SUMIF('Week2'!$A:$A,$A57,'Week2'!$K:$K)+SUMIF('Week3'!$A:$A,$A57,'Week3'!$K:$K)+SUMIF('Week4'!$A:$A,$A57,'Week4'!$K:$K)</f>
        <v/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7">
        <f>SUMIF('Week1'!$A:$A,$A58,'Week1'!$D:$D)+SUMIF('Week2'!$A:$A,$A58,'Week2'!$D:$D)+SUMIF('Week3'!$A:$A,$A58,'Week3'!$D:$D)+SUMIF('Week4'!$A:$A,$A58,'Week4'!$D:$D)</f>
        <v/>
      </c>
      <c r="E58" s="7">
        <f>SUMIF('Week1'!$A:$A,$A58,'Week1'!$E:$E)+SUMIF('Week2'!$A:$A,$A58,'Week2'!$E:$E)+SUMIF('Week3'!$A:$A,$A58,'Week3'!$E:$E)+SUMIF('Week4'!$A:$A,$A58,'Week4'!$E:$E)</f>
        <v/>
      </c>
      <c r="F58" s="7">
        <f>SUMIF('Week1'!$A:$A,$A58,'Week1'!$F:$F)+SUMIF('Week2'!$A:$A,$A58,'Week2'!$F:$F)+SUMIF('Week3'!$A:$A,$A58,'Week3'!$F:$F)+SUMIF('Week4'!$A:$A,$A58,'Week4'!$F:$F)</f>
        <v/>
      </c>
      <c r="G58" s="7">
        <f>SUMIF('Week1'!$A:$A,$A58,'Week1'!$G:$G)+SUMIF('Week2'!$A:$A,$A58,'Week2'!$G:$G)+SUMIF('Week3'!$A:$A,$A58,'Week3'!$G:$G)+SUMIF('Week4'!$A:$A,$A58,'Week4'!$G:$G)</f>
        <v/>
      </c>
      <c r="H58" s="7">
        <f>SUMIF('Week1'!$A:$A,$A58,'Week1'!$H:$H)+SUMIF('Week2'!$A:$A,$A58,'Week2'!$H:$H)+SUMIF('Week3'!$A:$A,$A58,'Week3'!$H:$H)+SUMIF('Week4'!$A:$A,$A58,'Week4'!$H:$H)</f>
        <v/>
      </c>
      <c r="I58" s="7">
        <f>SUMIF('Week1'!$A:$A,$A58,'Week1'!$I:$I)+SUMIF('Week2'!$A:$A,$A58,'Week2'!$I:$I)+SUMIF('Week3'!$A:$A,$A58,'Week3'!$I:$I)+SUMIF('Week4'!$A:$A,$A58,'Week4'!$I:$I)</f>
        <v/>
      </c>
      <c r="J58" s="7">
        <f>SUMIF('Week1'!$A:$A,$A58,'Week1'!$J:$J)+SUMIF('Week2'!$A:$A,$A58,'Week2'!$J:$J)+SUMIF('Week3'!$A:$A,$A58,'Week3'!$J:$J)+SUMIF('Week4'!$A:$A,$A58,'Week4'!$J:$J)</f>
        <v/>
      </c>
      <c r="K58" s="7">
        <f>SUMIF('Week1'!$A:$A,$A58,'Week1'!$K:$K)+SUMIF('Week2'!$A:$A,$A58,'Week2'!$K:$K)+SUMIF('Week3'!$A:$A,$A58,'Week3'!$K:$K)+SUMIF('Week4'!$A:$A,$A58,'Week4'!$K:$K)</f>
        <v/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7">
        <f>SUMIF('Week1'!$A:$A,$A59,'Week1'!$D:$D)+SUMIF('Week2'!$A:$A,$A59,'Week2'!$D:$D)+SUMIF('Week3'!$A:$A,$A59,'Week3'!$D:$D)+SUMIF('Week4'!$A:$A,$A59,'Week4'!$D:$D)</f>
        <v/>
      </c>
      <c r="E59" s="7">
        <f>SUMIF('Week1'!$A:$A,$A59,'Week1'!$E:$E)+SUMIF('Week2'!$A:$A,$A59,'Week2'!$E:$E)+SUMIF('Week3'!$A:$A,$A59,'Week3'!$E:$E)+SUMIF('Week4'!$A:$A,$A59,'Week4'!$E:$E)</f>
        <v/>
      </c>
      <c r="F59" s="7">
        <f>SUMIF('Week1'!$A:$A,$A59,'Week1'!$F:$F)+SUMIF('Week2'!$A:$A,$A59,'Week2'!$F:$F)+SUMIF('Week3'!$A:$A,$A59,'Week3'!$F:$F)+SUMIF('Week4'!$A:$A,$A59,'Week4'!$F:$F)</f>
        <v/>
      </c>
      <c r="G59" s="7">
        <f>SUMIF('Week1'!$A:$A,$A59,'Week1'!$G:$G)+SUMIF('Week2'!$A:$A,$A59,'Week2'!$G:$G)+SUMIF('Week3'!$A:$A,$A59,'Week3'!$G:$G)+SUMIF('Week4'!$A:$A,$A59,'Week4'!$G:$G)</f>
        <v/>
      </c>
      <c r="H59" s="7">
        <f>SUMIF('Week1'!$A:$A,$A59,'Week1'!$H:$H)+SUMIF('Week2'!$A:$A,$A59,'Week2'!$H:$H)+SUMIF('Week3'!$A:$A,$A59,'Week3'!$H:$H)+SUMIF('Week4'!$A:$A,$A59,'Week4'!$H:$H)</f>
        <v/>
      </c>
      <c r="I59" s="7">
        <f>SUMIF('Week1'!$A:$A,$A59,'Week1'!$I:$I)+SUMIF('Week2'!$A:$A,$A59,'Week2'!$I:$I)+SUMIF('Week3'!$A:$A,$A59,'Week3'!$I:$I)+SUMIF('Week4'!$A:$A,$A59,'Week4'!$I:$I)</f>
        <v/>
      </c>
      <c r="J59" s="7">
        <f>SUMIF('Week1'!$A:$A,$A59,'Week1'!$J:$J)+SUMIF('Week2'!$A:$A,$A59,'Week2'!$J:$J)+SUMIF('Week3'!$A:$A,$A59,'Week3'!$J:$J)+SUMIF('Week4'!$A:$A,$A59,'Week4'!$J:$J)</f>
        <v/>
      </c>
      <c r="K59" s="7">
        <f>SUMIF('Week1'!$A:$A,$A59,'Week1'!$K:$K)+SUMIF('Week2'!$A:$A,$A59,'Week2'!$K:$K)+SUMIF('Week3'!$A:$A,$A59,'Week3'!$K:$K)+SUMIF('Week4'!$A:$A,$A59,'Week4'!$K:$K)</f>
        <v/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7">
        <f>SUMIF('Week1'!$A:$A,$A60,'Week1'!$D:$D)+SUMIF('Week2'!$A:$A,$A60,'Week2'!$D:$D)+SUMIF('Week3'!$A:$A,$A60,'Week3'!$D:$D)+SUMIF('Week4'!$A:$A,$A60,'Week4'!$D:$D)</f>
        <v/>
      </c>
      <c r="E60" s="7">
        <f>SUMIF('Week1'!$A:$A,$A60,'Week1'!$E:$E)+SUMIF('Week2'!$A:$A,$A60,'Week2'!$E:$E)+SUMIF('Week3'!$A:$A,$A60,'Week3'!$E:$E)+SUMIF('Week4'!$A:$A,$A60,'Week4'!$E:$E)</f>
        <v/>
      </c>
      <c r="F60" s="7">
        <f>SUMIF('Week1'!$A:$A,$A60,'Week1'!$F:$F)+SUMIF('Week2'!$A:$A,$A60,'Week2'!$F:$F)+SUMIF('Week3'!$A:$A,$A60,'Week3'!$F:$F)+SUMIF('Week4'!$A:$A,$A60,'Week4'!$F:$F)</f>
        <v/>
      </c>
      <c r="G60" s="7">
        <f>SUMIF('Week1'!$A:$A,$A60,'Week1'!$G:$G)+SUMIF('Week2'!$A:$A,$A60,'Week2'!$G:$G)+SUMIF('Week3'!$A:$A,$A60,'Week3'!$G:$G)+SUMIF('Week4'!$A:$A,$A60,'Week4'!$G:$G)</f>
        <v/>
      </c>
      <c r="H60" s="7">
        <f>SUMIF('Week1'!$A:$A,$A60,'Week1'!$H:$H)+SUMIF('Week2'!$A:$A,$A60,'Week2'!$H:$H)+SUMIF('Week3'!$A:$A,$A60,'Week3'!$H:$H)+SUMIF('Week4'!$A:$A,$A60,'Week4'!$H:$H)</f>
        <v/>
      </c>
      <c r="I60" s="7">
        <f>SUMIF('Week1'!$A:$A,$A60,'Week1'!$I:$I)+SUMIF('Week2'!$A:$A,$A60,'Week2'!$I:$I)+SUMIF('Week3'!$A:$A,$A60,'Week3'!$I:$I)+SUMIF('Week4'!$A:$A,$A60,'Week4'!$I:$I)</f>
        <v/>
      </c>
      <c r="J60" s="7">
        <f>SUMIF('Week1'!$A:$A,$A60,'Week1'!$J:$J)+SUMIF('Week2'!$A:$A,$A60,'Week2'!$J:$J)+SUMIF('Week3'!$A:$A,$A60,'Week3'!$J:$J)+SUMIF('Week4'!$A:$A,$A60,'Week4'!$J:$J)</f>
        <v/>
      </c>
      <c r="K60" s="7">
        <f>SUMIF('Week1'!$A:$A,$A60,'Week1'!$K:$K)+SUMIF('Week2'!$A:$A,$A60,'Week2'!$K:$K)+SUMIF('Week3'!$A:$A,$A60,'Week3'!$K:$K)+SUMIF('Week4'!$A:$A,$A60,'Week4'!$K:$K)</f>
        <v/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7">
        <f>SUMIF('Week1'!$A:$A,$A61,'Week1'!$D:$D)+SUMIF('Week2'!$A:$A,$A61,'Week2'!$D:$D)+SUMIF('Week3'!$A:$A,$A61,'Week3'!$D:$D)+SUMIF('Week4'!$A:$A,$A61,'Week4'!$D:$D)</f>
        <v/>
      </c>
      <c r="E61" s="7">
        <f>SUMIF('Week1'!$A:$A,$A61,'Week1'!$E:$E)+SUMIF('Week2'!$A:$A,$A61,'Week2'!$E:$E)+SUMIF('Week3'!$A:$A,$A61,'Week3'!$E:$E)+SUMIF('Week4'!$A:$A,$A61,'Week4'!$E:$E)</f>
        <v/>
      </c>
      <c r="F61" s="7">
        <f>SUMIF('Week1'!$A:$A,$A61,'Week1'!$F:$F)+SUMIF('Week2'!$A:$A,$A61,'Week2'!$F:$F)+SUMIF('Week3'!$A:$A,$A61,'Week3'!$F:$F)+SUMIF('Week4'!$A:$A,$A61,'Week4'!$F:$F)</f>
        <v/>
      </c>
      <c r="G61" s="7">
        <f>SUMIF('Week1'!$A:$A,$A61,'Week1'!$G:$G)+SUMIF('Week2'!$A:$A,$A61,'Week2'!$G:$G)+SUMIF('Week3'!$A:$A,$A61,'Week3'!$G:$G)+SUMIF('Week4'!$A:$A,$A61,'Week4'!$G:$G)</f>
        <v/>
      </c>
      <c r="H61" s="7">
        <f>SUMIF('Week1'!$A:$A,$A61,'Week1'!$H:$H)+SUMIF('Week2'!$A:$A,$A61,'Week2'!$H:$H)+SUMIF('Week3'!$A:$A,$A61,'Week3'!$H:$H)+SUMIF('Week4'!$A:$A,$A61,'Week4'!$H:$H)</f>
        <v/>
      </c>
      <c r="I61" s="7">
        <f>SUMIF('Week1'!$A:$A,$A61,'Week1'!$I:$I)+SUMIF('Week2'!$A:$A,$A61,'Week2'!$I:$I)+SUMIF('Week3'!$A:$A,$A61,'Week3'!$I:$I)+SUMIF('Week4'!$A:$A,$A61,'Week4'!$I:$I)</f>
        <v/>
      </c>
      <c r="J61" s="7">
        <f>SUMIF('Week1'!$A:$A,$A61,'Week1'!$J:$J)+SUMIF('Week2'!$A:$A,$A61,'Week2'!$J:$J)+SUMIF('Week3'!$A:$A,$A61,'Week3'!$J:$J)+SUMIF('Week4'!$A:$A,$A61,'Week4'!$J:$J)</f>
        <v/>
      </c>
      <c r="K61" s="7">
        <f>SUMIF('Week1'!$A:$A,$A61,'Week1'!$K:$K)+SUMIF('Week2'!$A:$A,$A61,'Week2'!$K:$K)+SUMIF('Week3'!$A:$A,$A61,'Week3'!$K:$K)+SUMIF('Week4'!$A:$A,$A61,'Week4'!$K:$K)</f>
        <v/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7">
        <f>SUMIF('Week1'!$A:$A,$A62,'Week1'!$D:$D)+SUMIF('Week2'!$A:$A,$A62,'Week2'!$D:$D)+SUMIF('Week3'!$A:$A,$A62,'Week3'!$D:$D)+SUMIF('Week4'!$A:$A,$A62,'Week4'!$D:$D)</f>
        <v/>
      </c>
      <c r="E62" s="7">
        <f>SUMIF('Week1'!$A:$A,$A62,'Week1'!$E:$E)+SUMIF('Week2'!$A:$A,$A62,'Week2'!$E:$E)+SUMIF('Week3'!$A:$A,$A62,'Week3'!$E:$E)+SUMIF('Week4'!$A:$A,$A62,'Week4'!$E:$E)</f>
        <v/>
      </c>
      <c r="F62" s="7">
        <f>SUMIF('Week1'!$A:$A,$A62,'Week1'!$F:$F)+SUMIF('Week2'!$A:$A,$A62,'Week2'!$F:$F)+SUMIF('Week3'!$A:$A,$A62,'Week3'!$F:$F)+SUMIF('Week4'!$A:$A,$A62,'Week4'!$F:$F)</f>
        <v/>
      </c>
      <c r="G62" s="7">
        <f>SUMIF('Week1'!$A:$A,$A62,'Week1'!$G:$G)+SUMIF('Week2'!$A:$A,$A62,'Week2'!$G:$G)+SUMIF('Week3'!$A:$A,$A62,'Week3'!$G:$G)+SUMIF('Week4'!$A:$A,$A62,'Week4'!$G:$G)</f>
        <v/>
      </c>
      <c r="H62" s="7">
        <f>SUMIF('Week1'!$A:$A,$A62,'Week1'!$H:$H)+SUMIF('Week2'!$A:$A,$A62,'Week2'!$H:$H)+SUMIF('Week3'!$A:$A,$A62,'Week3'!$H:$H)+SUMIF('Week4'!$A:$A,$A62,'Week4'!$H:$H)</f>
        <v/>
      </c>
      <c r="I62" s="7">
        <f>SUMIF('Week1'!$A:$A,$A62,'Week1'!$I:$I)+SUMIF('Week2'!$A:$A,$A62,'Week2'!$I:$I)+SUMIF('Week3'!$A:$A,$A62,'Week3'!$I:$I)+SUMIF('Week4'!$A:$A,$A62,'Week4'!$I:$I)</f>
        <v/>
      </c>
      <c r="J62" s="7">
        <f>SUMIF('Week1'!$A:$A,$A62,'Week1'!$J:$J)+SUMIF('Week2'!$A:$A,$A62,'Week2'!$J:$J)+SUMIF('Week3'!$A:$A,$A62,'Week3'!$J:$J)+SUMIF('Week4'!$A:$A,$A62,'Week4'!$J:$J)</f>
        <v/>
      </c>
      <c r="K62" s="7">
        <f>SUMIF('Week1'!$A:$A,$A62,'Week1'!$K:$K)+SUMIF('Week2'!$A:$A,$A62,'Week2'!$K:$K)+SUMIF('Week3'!$A:$A,$A62,'Week3'!$K:$K)+SUMIF('Week4'!$A:$A,$A62,'Week4'!$K:$K)</f>
        <v/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7">
        <f>SUMIF('Week1'!$A:$A,$A63,'Week1'!$D:$D)+SUMIF('Week2'!$A:$A,$A63,'Week2'!$D:$D)+SUMIF('Week3'!$A:$A,$A63,'Week3'!$D:$D)+SUMIF('Week4'!$A:$A,$A63,'Week4'!$D:$D)</f>
        <v/>
      </c>
      <c r="E63" s="7">
        <f>SUMIF('Week1'!$A:$A,$A63,'Week1'!$E:$E)+SUMIF('Week2'!$A:$A,$A63,'Week2'!$E:$E)+SUMIF('Week3'!$A:$A,$A63,'Week3'!$E:$E)+SUMIF('Week4'!$A:$A,$A63,'Week4'!$E:$E)</f>
        <v/>
      </c>
      <c r="F63" s="7">
        <f>SUMIF('Week1'!$A:$A,$A63,'Week1'!$F:$F)+SUMIF('Week2'!$A:$A,$A63,'Week2'!$F:$F)+SUMIF('Week3'!$A:$A,$A63,'Week3'!$F:$F)+SUMIF('Week4'!$A:$A,$A63,'Week4'!$F:$F)</f>
        <v/>
      </c>
      <c r="G63" s="7">
        <f>SUMIF('Week1'!$A:$A,$A63,'Week1'!$G:$G)+SUMIF('Week2'!$A:$A,$A63,'Week2'!$G:$G)+SUMIF('Week3'!$A:$A,$A63,'Week3'!$G:$G)+SUMIF('Week4'!$A:$A,$A63,'Week4'!$G:$G)</f>
        <v/>
      </c>
      <c r="H63" s="7">
        <f>SUMIF('Week1'!$A:$A,$A63,'Week1'!$H:$H)+SUMIF('Week2'!$A:$A,$A63,'Week2'!$H:$H)+SUMIF('Week3'!$A:$A,$A63,'Week3'!$H:$H)+SUMIF('Week4'!$A:$A,$A63,'Week4'!$H:$H)</f>
        <v/>
      </c>
      <c r="I63" s="7">
        <f>SUMIF('Week1'!$A:$A,$A63,'Week1'!$I:$I)+SUMIF('Week2'!$A:$A,$A63,'Week2'!$I:$I)+SUMIF('Week3'!$A:$A,$A63,'Week3'!$I:$I)+SUMIF('Week4'!$A:$A,$A63,'Week4'!$I:$I)</f>
        <v/>
      </c>
      <c r="J63" s="7">
        <f>SUMIF('Week1'!$A:$A,$A63,'Week1'!$J:$J)+SUMIF('Week2'!$A:$A,$A63,'Week2'!$J:$J)+SUMIF('Week3'!$A:$A,$A63,'Week3'!$J:$J)+SUMIF('Week4'!$A:$A,$A63,'Week4'!$J:$J)</f>
        <v/>
      </c>
      <c r="K63" s="7">
        <f>SUMIF('Week1'!$A:$A,$A63,'Week1'!$K:$K)+SUMIF('Week2'!$A:$A,$A63,'Week2'!$K:$K)+SUMIF('Week3'!$A:$A,$A63,'Week3'!$K:$K)+SUMIF('Week4'!$A:$A,$A63,'Week4'!$K:$K)</f>
        <v/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7">
        <f>SUMIF('Week1'!$A:$A,$A64,'Week1'!$D:$D)+SUMIF('Week2'!$A:$A,$A64,'Week2'!$D:$D)+SUMIF('Week3'!$A:$A,$A64,'Week3'!$D:$D)+SUMIF('Week4'!$A:$A,$A64,'Week4'!$D:$D)</f>
        <v/>
      </c>
      <c r="E64" s="7">
        <f>SUMIF('Week1'!$A:$A,$A64,'Week1'!$E:$E)+SUMIF('Week2'!$A:$A,$A64,'Week2'!$E:$E)+SUMIF('Week3'!$A:$A,$A64,'Week3'!$E:$E)+SUMIF('Week4'!$A:$A,$A64,'Week4'!$E:$E)</f>
        <v/>
      </c>
      <c r="F64" s="7">
        <f>SUMIF('Week1'!$A:$A,$A64,'Week1'!$F:$F)+SUMIF('Week2'!$A:$A,$A64,'Week2'!$F:$F)+SUMIF('Week3'!$A:$A,$A64,'Week3'!$F:$F)+SUMIF('Week4'!$A:$A,$A64,'Week4'!$F:$F)</f>
        <v/>
      </c>
      <c r="G64" s="7">
        <f>SUMIF('Week1'!$A:$A,$A64,'Week1'!$G:$G)+SUMIF('Week2'!$A:$A,$A64,'Week2'!$G:$G)+SUMIF('Week3'!$A:$A,$A64,'Week3'!$G:$G)+SUMIF('Week4'!$A:$A,$A64,'Week4'!$G:$G)</f>
        <v/>
      </c>
      <c r="H64" s="7">
        <f>SUMIF('Week1'!$A:$A,$A64,'Week1'!$H:$H)+SUMIF('Week2'!$A:$A,$A64,'Week2'!$H:$H)+SUMIF('Week3'!$A:$A,$A64,'Week3'!$H:$H)+SUMIF('Week4'!$A:$A,$A64,'Week4'!$H:$H)</f>
        <v/>
      </c>
      <c r="I64" s="7">
        <f>SUMIF('Week1'!$A:$A,$A64,'Week1'!$I:$I)+SUMIF('Week2'!$A:$A,$A64,'Week2'!$I:$I)+SUMIF('Week3'!$A:$A,$A64,'Week3'!$I:$I)+SUMIF('Week4'!$A:$A,$A64,'Week4'!$I:$I)</f>
        <v/>
      </c>
      <c r="J64" s="7">
        <f>SUMIF('Week1'!$A:$A,$A64,'Week1'!$J:$J)+SUMIF('Week2'!$A:$A,$A64,'Week2'!$J:$J)+SUMIF('Week3'!$A:$A,$A64,'Week3'!$J:$J)+SUMIF('Week4'!$A:$A,$A64,'Week4'!$J:$J)</f>
        <v/>
      </c>
      <c r="K64" s="7">
        <f>SUMIF('Week1'!$A:$A,$A64,'Week1'!$K:$K)+SUMIF('Week2'!$A:$A,$A64,'Week2'!$K:$K)+SUMIF('Week3'!$A:$A,$A64,'Week3'!$K:$K)+SUMIF('Week4'!$A:$A,$A64,'Week4'!$K:$K)</f>
        <v/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7">
        <f>SUMIF('Week1'!$A:$A,$A65,'Week1'!$D:$D)+SUMIF('Week2'!$A:$A,$A65,'Week2'!$D:$D)+SUMIF('Week3'!$A:$A,$A65,'Week3'!$D:$D)+SUMIF('Week4'!$A:$A,$A65,'Week4'!$D:$D)</f>
        <v/>
      </c>
      <c r="E65" s="7">
        <f>SUMIF('Week1'!$A:$A,$A65,'Week1'!$E:$E)+SUMIF('Week2'!$A:$A,$A65,'Week2'!$E:$E)+SUMIF('Week3'!$A:$A,$A65,'Week3'!$E:$E)+SUMIF('Week4'!$A:$A,$A65,'Week4'!$E:$E)</f>
        <v/>
      </c>
      <c r="F65" s="7">
        <f>SUMIF('Week1'!$A:$A,$A65,'Week1'!$F:$F)+SUMIF('Week2'!$A:$A,$A65,'Week2'!$F:$F)+SUMIF('Week3'!$A:$A,$A65,'Week3'!$F:$F)+SUMIF('Week4'!$A:$A,$A65,'Week4'!$F:$F)</f>
        <v/>
      </c>
      <c r="G65" s="7">
        <f>SUMIF('Week1'!$A:$A,$A65,'Week1'!$G:$G)+SUMIF('Week2'!$A:$A,$A65,'Week2'!$G:$G)+SUMIF('Week3'!$A:$A,$A65,'Week3'!$G:$G)+SUMIF('Week4'!$A:$A,$A65,'Week4'!$G:$G)</f>
        <v/>
      </c>
      <c r="H65" s="7">
        <f>SUMIF('Week1'!$A:$A,$A65,'Week1'!$H:$H)+SUMIF('Week2'!$A:$A,$A65,'Week2'!$H:$H)+SUMIF('Week3'!$A:$A,$A65,'Week3'!$H:$H)+SUMIF('Week4'!$A:$A,$A65,'Week4'!$H:$H)</f>
        <v/>
      </c>
      <c r="I65" s="7">
        <f>SUMIF('Week1'!$A:$A,$A65,'Week1'!$I:$I)+SUMIF('Week2'!$A:$A,$A65,'Week2'!$I:$I)+SUMIF('Week3'!$A:$A,$A65,'Week3'!$I:$I)+SUMIF('Week4'!$A:$A,$A65,'Week4'!$I:$I)</f>
        <v/>
      </c>
      <c r="J65" s="7">
        <f>SUMIF('Week1'!$A:$A,$A65,'Week1'!$J:$J)+SUMIF('Week2'!$A:$A,$A65,'Week2'!$J:$J)+SUMIF('Week3'!$A:$A,$A65,'Week3'!$J:$J)+SUMIF('Week4'!$A:$A,$A65,'Week4'!$J:$J)</f>
        <v/>
      </c>
      <c r="K65" s="7">
        <f>SUMIF('Week1'!$A:$A,$A65,'Week1'!$K:$K)+SUMIF('Week2'!$A:$A,$A65,'Week2'!$K:$K)+SUMIF('Week3'!$A:$A,$A65,'Week3'!$K:$K)+SUMIF('Week4'!$A:$A,$A65,'Week4'!$K:$K)</f>
        <v/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7">
        <f>SUMIF('Week1'!$A:$A,$A66,'Week1'!$D:$D)+SUMIF('Week2'!$A:$A,$A66,'Week2'!$D:$D)+SUMIF('Week3'!$A:$A,$A66,'Week3'!$D:$D)+SUMIF('Week4'!$A:$A,$A66,'Week4'!$D:$D)</f>
        <v/>
      </c>
      <c r="E66" s="7">
        <f>SUMIF('Week1'!$A:$A,$A66,'Week1'!$E:$E)+SUMIF('Week2'!$A:$A,$A66,'Week2'!$E:$E)+SUMIF('Week3'!$A:$A,$A66,'Week3'!$E:$E)+SUMIF('Week4'!$A:$A,$A66,'Week4'!$E:$E)</f>
        <v/>
      </c>
      <c r="F66" s="7">
        <f>SUMIF('Week1'!$A:$A,$A66,'Week1'!$F:$F)+SUMIF('Week2'!$A:$A,$A66,'Week2'!$F:$F)+SUMIF('Week3'!$A:$A,$A66,'Week3'!$F:$F)+SUMIF('Week4'!$A:$A,$A66,'Week4'!$F:$F)</f>
        <v/>
      </c>
      <c r="G66" s="7">
        <f>SUMIF('Week1'!$A:$A,$A66,'Week1'!$G:$G)+SUMIF('Week2'!$A:$A,$A66,'Week2'!$G:$G)+SUMIF('Week3'!$A:$A,$A66,'Week3'!$G:$G)+SUMIF('Week4'!$A:$A,$A66,'Week4'!$G:$G)</f>
        <v/>
      </c>
      <c r="H66" s="7">
        <f>SUMIF('Week1'!$A:$A,$A66,'Week1'!$H:$H)+SUMIF('Week2'!$A:$A,$A66,'Week2'!$H:$H)+SUMIF('Week3'!$A:$A,$A66,'Week3'!$H:$H)+SUMIF('Week4'!$A:$A,$A66,'Week4'!$H:$H)</f>
        <v/>
      </c>
      <c r="I66" s="7">
        <f>SUMIF('Week1'!$A:$A,$A66,'Week1'!$I:$I)+SUMIF('Week2'!$A:$A,$A66,'Week2'!$I:$I)+SUMIF('Week3'!$A:$A,$A66,'Week3'!$I:$I)+SUMIF('Week4'!$A:$A,$A66,'Week4'!$I:$I)</f>
        <v/>
      </c>
      <c r="J66" s="7">
        <f>SUMIF('Week1'!$A:$A,$A66,'Week1'!$J:$J)+SUMIF('Week2'!$A:$A,$A66,'Week2'!$J:$J)+SUMIF('Week3'!$A:$A,$A66,'Week3'!$J:$J)+SUMIF('Week4'!$A:$A,$A66,'Week4'!$J:$J)</f>
        <v/>
      </c>
      <c r="K66" s="7">
        <f>SUMIF('Week1'!$A:$A,$A66,'Week1'!$K:$K)+SUMIF('Week2'!$A:$A,$A66,'Week2'!$K:$K)+SUMIF('Week3'!$A:$A,$A66,'Week3'!$K:$K)+SUMIF('Week4'!$A:$A,$A66,'Week4'!$K:$K)</f>
        <v/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7">
        <f>SUMIF('Week1'!$A:$A,$A67,'Week1'!$D:$D)+SUMIF('Week2'!$A:$A,$A67,'Week2'!$D:$D)+SUMIF('Week3'!$A:$A,$A67,'Week3'!$D:$D)+SUMIF('Week4'!$A:$A,$A67,'Week4'!$D:$D)</f>
        <v/>
      </c>
      <c r="E67" s="7">
        <f>SUMIF('Week1'!$A:$A,$A67,'Week1'!$E:$E)+SUMIF('Week2'!$A:$A,$A67,'Week2'!$E:$E)+SUMIF('Week3'!$A:$A,$A67,'Week3'!$E:$E)+SUMIF('Week4'!$A:$A,$A67,'Week4'!$E:$E)</f>
        <v/>
      </c>
      <c r="F67" s="7">
        <f>SUMIF('Week1'!$A:$A,$A67,'Week1'!$F:$F)+SUMIF('Week2'!$A:$A,$A67,'Week2'!$F:$F)+SUMIF('Week3'!$A:$A,$A67,'Week3'!$F:$F)+SUMIF('Week4'!$A:$A,$A67,'Week4'!$F:$F)</f>
        <v/>
      </c>
      <c r="G67" s="7">
        <f>SUMIF('Week1'!$A:$A,$A67,'Week1'!$G:$G)+SUMIF('Week2'!$A:$A,$A67,'Week2'!$G:$G)+SUMIF('Week3'!$A:$A,$A67,'Week3'!$G:$G)+SUMIF('Week4'!$A:$A,$A67,'Week4'!$G:$G)</f>
        <v/>
      </c>
      <c r="H67" s="7">
        <f>SUMIF('Week1'!$A:$A,$A67,'Week1'!$H:$H)+SUMIF('Week2'!$A:$A,$A67,'Week2'!$H:$H)+SUMIF('Week3'!$A:$A,$A67,'Week3'!$H:$H)+SUMIF('Week4'!$A:$A,$A67,'Week4'!$H:$H)</f>
        <v/>
      </c>
      <c r="I67" s="7">
        <f>SUMIF('Week1'!$A:$A,$A67,'Week1'!$I:$I)+SUMIF('Week2'!$A:$A,$A67,'Week2'!$I:$I)+SUMIF('Week3'!$A:$A,$A67,'Week3'!$I:$I)+SUMIF('Week4'!$A:$A,$A67,'Week4'!$I:$I)</f>
        <v/>
      </c>
      <c r="J67" s="7">
        <f>SUMIF('Week1'!$A:$A,$A67,'Week1'!$J:$J)+SUMIF('Week2'!$A:$A,$A67,'Week2'!$J:$J)+SUMIF('Week3'!$A:$A,$A67,'Week3'!$J:$J)+SUMIF('Week4'!$A:$A,$A67,'Week4'!$J:$J)</f>
        <v/>
      </c>
      <c r="K67" s="7">
        <f>SUMIF('Week1'!$A:$A,$A67,'Week1'!$K:$K)+SUMIF('Week2'!$A:$A,$A67,'Week2'!$K:$K)+SUMIF('Week3'!$A:$A,$A67,'Week3'!$K:$K)+SUMIF('Week4'!$A:$A,$A67,'Week4'!$K:$K)</f>
        <v/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7">
        <f>SUMIF('Week1'!$A:$A,$A68,'Week1'!$D:$D)+SUMIF('Week2'!$A:$A,$A68,'Week2'!$D:$D)+SUMIF('Week3'!$A:$A,$A68,'Week3'!$D:$D)+SUMIF('Week4'!$A:$A,$A68,'Week4'!$D:$D)</f>
        <v/>
      </c>
      <c r="E68" s="7">
        <f>SUMIF('Week1'!$A:$A,$A68,'Week1'!$E:$E)+SUMIF('Week2'!$A:$A,$A68,'Week2'!$E:$E)+SUMIF('Week3'!$A:$A,$A68,'Week3'!$E:$E)+SUMIF('Week4'!$A:$A,$A68,'Week4'!$E:$E)</f>
        <v/>
      </c>
      <c r="F68" s="7">
        <f>SUMIF('Week1'!$A:$A,$A68,'Week1'!$F:$F)+SUMIF('Week2'!$A:$A,$A68,'Week2'!$F:$F)+SUMIF('Week3'!$A:$A,$A68,'Week3'!$F:$F)+SUMIF('Week4'!$A:$A,$A68,'Week4'!$F:$F)</f>
        <v/>
      </c>
      <c r="G68" s="7">
        <f>SUMIF('Week1'!$A:$A,$A68,'Week1'!$G:$G)+SUMIF('Week2'!$A:$A,$A68,'Week2'!$G:$G)+SUMIF('Week3'!$A:$A,$A68,'Week3'!$G:$G)+SUMIF('Week4'!$A:$A,$A68,'Week4'!$G:$G)</f>
        <v/>
      </c>
      <c r="H68" s="7">
        <f>SUMIF('Week1'!$A:$A,$A68,'Week1'!$H:$H)+SUMIF('Week2'!$A:$A,$A68,'Week2'!$H:$H)+SUMIF('Week3'!$A:$A,$A68,'Week3'!$H:$H)+SUMIF('Week4'!$A:$A,$A68,'Week4'!$H:$H)</f>
        <v/>
      </c>
      <c r="I68" s="7">
        <f>SUMIF('Week1'!$A:$A,$A68,'Week1'!$I:$I)+SUMIF('Week2'!$A:$A,$A68,'Week2'!$I:$I)+SUMIF('Week3'!$A:$A,$A68,'Week3'!$I:$I)+SUMIF('Week4'!$A:$A,$A68,'Week4'!$I:$I)</f>
        <v/>
      </c>
      <c r="J68" s="7">
        <f>SUMIF('Week1'!$A:$A,$A68,'Week1'!$J:$J)+SUMIF('Week2'!$A:$A,$A68,'Week2'!$J:$J)+SUMIF('Week3'!$A:$A,$A68,'Week3'!$J:$J)+SUMIF('Week4'!$A:$A,$A68,'Week4'!$J:$J)</f>
        <v/>
      </c>
      <c r="K68" s="7">
        <f>SUMIF('Week1'!$A:$A,$A68,'Week1'!$K:$K)+SUMIF('Week2'!$A:$A,$A68,'Week2'!$K:$K)+SUMIF('Week3'!$A:$A,$A68,'Week3'!$K:$K)+SUMIF('Week4'!$A:$A,$A68,'Week4'!$K:$K)</f>
        <v/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7">
        <f>SUMIF('Week1'!$A:$A,$A69,'Week1'!$D:$D)+SUMIF('Week2'!$A:$A,$A69,'Week2'!$D:$D)+SUMIF('Week3'!$A:$A,$A69,'Week3'!$D:$D)+SUMIF('Week4'!$A:$A,$A69,'Week4'!$D:$D)</f>
        <v/>
      </c>
      <c r="E69" s="7">
        <f>SUMIF('Week1'!$A:$A,$A69,'Week1'!$E:$E)+SUMIF('Week2'!$A:$A,$A69,'Week2'!$E:$E)+SUMIF('Week3'!$A:$A,$A69,'Week3'!$E:$E)+SUMIF('Week4'!$A:$A,$A69,'Week4'!$E:$E)</f>
        <v/>
      </c>
      <c r="F69" s="7">
        <f>SUMIF('Week1'!$A:$A,$A69,'Week1'!$F:$F)+SUMIF('Week2'!$A:$A,$A69,'Week2'!$F:$F)+SUMIF('Week3'!$A:$A,$A69,'Week3'!$F:$F)+SUMIF('Week4'!$A:$A,$A69,'Week4'!$F:$F)</f>
        <v/>
      </c>
      <c r="G69" s="7">
        <f>SUMIF('Week1'!$A:$A,$A69,'Week1'!$G:$G)+SUMIF('Week2'!$A:$A,$A69,'Week2'!$G:$G)+SUMIF('Week3'!$A:$A,$A69,'Week3'!$G:$G)+SUMIF('Week4'!$A:$A,$A69,'Week4'!$G:$G)</f>
        <v/>
      </c>
      <c r="H69" s="7">
        <f>SUMIF('Week1'!$A:$A,$A69,'Week1'!$H:$H)+SUMIF('Week2'!$A:$A,$A69,'Week2'!$H:$H)+SUMIF('Week3'!$A:$A,$A69,'Week3'!$H:$H)+SUMIF('Week4'!$A:$A,$A69,'Week4'!$H:$H)</f>
        <v/>
      </c>
      <c r="I69" s="7">
        <f>SUMIF('Week1'!$A:$A,$A69,'Week1'!$I:$I)+SUMIF('Week2'!$A:$A,$A69,'Week2'!$I:$I)+SUMIF('Week3'!$A:$A,$A69,'Week3'!$I:$I)+SUMIF('Week4'!$A:$A,$A69,'Week4'!$I:$I)</f>
        <v/>
      </c>
      <c r="J69" s="7">
        <f>SUMIF('Week1'!$A:$A,$A69,'Week1'!$J:$J)+SUMIF('Week2'!$A:$A,$A69,'Week2'!$J:$J)+SUMIF('Week3'!$A:$A,$A69,'Week3'!$J:$J)+SUMIF('Week4'!$A:$A,$A69,'Week4'!$J:$J)</f>
        <v/>
      </c>
      <c r="K69" s="7">
        <f>SUMIF('Week1'!$A:$A,$A69,'Week1'!$K:$K)+SUMIF('Week2'!$A:$A,$A69,'Week2'!$K:$K)+SUMIF('Week3'!$A:$A,$A69,'Week3'!$K:$K)+SUMIF('Week4'!$A:$A,$A69,'Week4'!$K:$K)</f>
        <v/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7">
        <f>SUMIF('Week1'!$A:$A,$A70,'Week1'!$D:$D)+SUMIF('Week2'!$A:$A,$A70,'Week2'!$D:$D)+SUMIF('Week3'!$A:$A,$A70,'Week3'!$D:$D)+SUMIF('Week4'!$A:$A,$A70,'Week4'!$D:$D)</f>
        <v/>
      </c>
      <c r="E70" s="7">
        <f>SUMIF('Week1'!$A:$A,$A70,'Week1'!$E:$E)+SUMIF('Week2'!$A:$A,$A70,'Week2'!$E:$E)+SUMIF('Week3'!$A:$A,$A70,'Week3'!$E:$E)+SUMIF('Week4'!$A:$A,$A70,'Week4'!$E:$E)</f>
        <v/>
      </c>
      <c r="F70" s="7">
        <f>SUMIF('Week1'!$A:$A,$A70,'Week1'!$F:$F)+SUMIF('Week2'!$A:$A,$A70,'Week2'!$F:$F)+SUMIF('Week3'!$A:$A,$A70,'Week3'!$F:$F)+SUMIF('Week4'!$A:$A,$A70,'Week4'!$F:$F)</f>
        <v/>
      </c>
      <c r="G70" s="7">
        <f>SUMIF('Week1'!$A:$A,$A70,'Week1'!$G:$G)+SUMIF('Week2'!$A:$A,$A70,'Week2'!$G:$G)+SUMIF('Week3'!$A:$A,$A70,'Week3'!$G:$G)+SUMIF('Week4'!$A:$A,$A70,'Week4'!$G:$G)</f>
        <v/>
      </c>
      <c r="H70" s="7">
        <f>SUMIF('Week1'!$A:$A,$A70,'Week1'!$H:$H)+SUMIF('Week2'!$A:$A,$A70,'Week2'!$H:$H)+SUMIF('Week3'!$A:$A,$A70,'Week3'!$H:$H)+SUMIF('Week4'!$A:$A,$A70,'Week4'!$H:$H)</f>
        <v/>
      </c>
      <c r="I70" s="7">
        <f>SUMIF('Week1'!$A:$A,$A70,'Week1'!$I:$I)+SUMIF('Week2'!$A:$A,$A70,'Week2'!$I:$I)+SUMIF('Week3'!$A:$A,$A70,'Week3'!$I:$I)+SUMIF('Week4'!$A:$A,$A70,'Week4'!$I:$I)</f>
        <v/>
      </c>
      <c r="J70" s="7">
        <f>SUMIF('Week1'!$A:$A,$A70,'Week1'!$J:$J)+SUMIF('Week2'!$A:$A,$A70,'Week2'!$J:$J)+SUMIF('Week3'!$A:$A,$A70,'Week3'!$J:$J)+SUMIF('Week4'!$A:$A,$A70,'Week4'!$J:$J)</f>
        <v/>
      </c>
      <c r="K70" s="7">
        <f>SUMIF('Week1'!$A:$A,$A70,'Week1'!$K:$K)+SUMIF('Week2'!$A:$A,$A70,'Week2'!$K:$K)+SUMIF('Week3'!$A:$A,$A70,'Week3'!$K:$K)+SUMIF('Week4'!$A:$A,$A70,'Week4'!$K:$K)</f>
        <v/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7">
        <f>SUMIF('Week1'!$A:$A,$A71,'Week1'!$D:$D)+SUMIF('Week2'!$A:$A,$A71,'Week2'!$D:$D)+SUMIF('Week3'!$A:$A,$A71,'Week3'!$D:$D)+SUMIF('Week4'!$A:$A,$A71,'Week4'!$D:$D)</f>
        <v/>
      </c>
      <c r="E71" s="7">
        <f>SUMIF('Week1'!$A:$A,$A71,'Week1'!$E:$E)+SUMIF('Week2'!$A:$A,$A71,'Week2'!$E:$E)+SUMIF('Week3'!$A:$A,$A71,'Week3'!$E:$E)+SUMIF('Week4'!$A:$A,$A71,'Week4'!$E:$E)</f>
        <v/>
      </c>
      <c r="F71" s="7">
        <f>SUMIF('Week1'!$A:$A,$A71,'Week1'!$F:$F)+SUMIF('Week2'!$A:$A,$A71,'Week2'!$F:$F)+SUMIF('Week3'!$A:$A,$A71,'Week3'!$F:$F)+SUMIF('Week4'!$A:$A,$A71,'Week4'!$F:$F)</f>
        <v/>
      </c>
      <c r="G71" s="7">
        <f>SUMIF('Week1'!$A:$A,$A71,'Week1'!$G:$G)+SUMIF('Week2'!$A:$A,$A71,'Week2'!$G:$G)+SUMIF('Week3'!$A:$A,$A71,'Week3'!$G:$G)+SUMIF('Week4'!$A:$A,$A71,'Week4'!$G:$G)</f>
        <v/>
      </c>
      <c r="H71" s="7">
        <f>SUMIF('Week1'!$A:$A,$A71,'Week1'!$H:$H)+SUMIF('Week2'!$A:$A,$A71,'Week2'!$H:$H)+SUMIF('Week3'!$A:$A,$A71,'Week3'!$H:$H)+SUMIF('Week4'!$A:$A,$A71,'Week4'!$H:$H)</f>
        <v/>
      </c>
      <c r="I71" s="7">
        <f>SUMIF('Week1'!$A:$A,$A71,'Week1'!$I:$I)+SUMIF('Week2'!$A:$A,$A71,'Week2'!$I:$I)+SUMIF('Week3'!$A:$A,$A71,'Week3'!$I:$I)+SUMIF('Week4'!$A:$A,$A71,'Week4'!$I:$I)</f>
        <v/>
      </c>
      <c r="J71" s="7">
        <f>SUMIF('Week1'!$A:$A,$A71,'Week1'!$J:$J)+SUMIF('Week2'!$A:$A,$A71,'Week2'!$J:$J)+SUMIF('Week3'!$A:$A,$A71,'Week3'!$J:$J)+SUMIF('Week4'!$A:$A,$A71,'Week4'!$J:$J)</f>
        <v/>
      </c>
      <c r="K71" s="7">
        <f>SUMIF('Week1'!$A:$A,$A71,'Week1'!$K:$K)+SUMIF('Week2'!$A:$A,$A71,'Week2'!$K:$K)+SUMIF('Week3'!$A:$A,$A71,'Week3'!$K:$K)+SUMIF('Week4'!$A:$A,$A71,'Week4'!$K:$K)</f>
        <v/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7">
        <f>SUMIF('Week1'!$A:$A,$A72,'Week1'!$D:$D)+SUMIF('Week2'!$A:$A,$A72,'Week2'!$D:$D)+SUMIF('Week3'!$A:$A,$A72,'Week3'!$D:$D)+SUMIF('Week4'!$A:$A,$A72,'Week4'!$D:$D)</f>
        <v/>
      </c>
      <c r="E72" s="7">
        <f>SUMIF('Week1'!$A:$A,$A72,'Week1'!$E:$E)+SUMIF('Week2'!$A:$A,$A72,'Week2'!$E:$E)+SUMIF('Week3'!$A:$A,$A72,'Week3'!$E:$E)+SUMIF('Week4'!$A:$A,$A72,'Week4'!$E:$E)</f>
        <v/>
      </c>
      <c r="F72" s="7">
        <f>SUMIF('Week1'!$A:$A,$A72,'Week1'!$F:$F)+SUMIF('Week2'!$A:$A,$A72,'Week2'!$F:$F)+SUMIF('Week3'!$A:$A,$A72,'Week3'!$F:$F)+SUMIF('Week4'!$A:$A,$A72,'Week4'!$F:$F)</f>
        <v/>
      </c>
      <c r="G72" s="7">
        <f>SUMIF('Week1'!$A:$A,$A72,'Week1'!$G:$G)+SUMIF('Week2'!$A:$A,$A72,'Week2'!$G:$G)+SUMIF('Week3'!$A:$A,$A72,'Week3'!$G:$G)+SUMIF('Week4'!$A:$A,$A72,'Week4'!$G:$G)</f>
        <v/>
      </c>
      <c r="H72" s="7">
        <f>SUMIF('Week1'!$A:$A,$A72,'Week1'!$H:$H)+SUMIF('Week2'!$A:$A,$A72,'Week2'!$H:$H)+SUMIF('Week3'!$A:$A,$A72,'Week3'!$H:$H)+SUMIF('Week4'!$A:$A,$A72,'Week4'!$H:$H)</f>
        <v/>
      </c>
      <c r="I72" s="7">
        <f>SUMIF('Week1'!$A:$A,$A72,'Week1'!$I:$I)+SUMIF('Week2'!$A:$A,$A72,'Week2'!$I:$I)+SUMIF('Week3'!$A:$A,$A72,'Week3'!$I:$I)+SUMIF('Week4'!$A:$A,$A72,'Week4'!$I:$I)</f>
        <v/>
      </c>
      <c r="J72" s="7">
        <f>SUMIF('Week1'!$A:$A,$A72,'Week1'!$J:$J)+SUMIF('Week2'!$A:$A,$A72,'Week2'!$J:$J)+SUMIF('Week3'!$A:$A,$A72,'Week3'!$J:$J)+SUMIF('Week4'!$A:$A,$A72,'Week4'!$J:$J)</f>
        <v/>
      </c>
      <c r="K72" s="7">
        <f>SUMIF('Week1'!$A:$A,$A72,'Week1'!$K:$K)+SUMIF('Week2'!$A:$A,$A72,'Week2'!$K:$K)+SUMIF('Week3'!$A:$A,$A72,'Week3'!$K:$K)+SUMIF('Week4'!$A:$A,$A72,'Week4'!$K:$K)</f>
        <v/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7">
        <f>SUMIF('Week1'!$A:$A,$A73,'Week1'!$D:$D)+SUMIF('Week2'!$A:$A,$A73,'Week2'!$D:$D)+SUMIF('Week3'!$A:$A,$A73,'Week3'!$D:$D)+SUMIF('Week4'!$A:$A,$A73,'Week4'!$D:$D)</f>
        <v/>
      </c>
      <c r="E73" s="7">
        <f>SUMIF('Week1'!$A:$A,$A73,'Week1'!$E:$E)+SUMIF('Week2'!$A:$A,$A73,'Week2'!$E:$E)+SUMIF('Week3'!$A:$A,$A73,'Week3'!$E:$E)+SUMIF('Week4'!$A:$A,$A73,'Week4'!$E:$E)</f>
        <v/>
      </c>
      <c r="F73" s="7">
        <f>SUMIF('Week1'!$A:$A,$A73,'Week1'!$F:$F)+SUMIF('Week2'!$A:$A,$A73,'Week2'!$F:$F)+SUMIF('Week3'!$A:$A,$A73,'Week3'!$F:$F)+SUMIF('Week4'!$A:$A,$A73,'Week4'!$F:$F)</f>
        <v/>
      </c>
      <c r="G73" s="7">
        <f>SUMIF('Week1'!$A:$A,$A73,'Week1'!$G:$G)+SUMIF('Week2'!$A:$A,$A73,'Week2'!$G:$G)+SUMIF('Week3'!$A:$A,$A73,'Week3'!$G:$G)+SUMIF('Week4'!$A:$A,$A73,'Week4'!$G:$G)</f>
        <v/>
      </c>
      <c r="H73" s="7">
        <f>SUMIF('Week1'!$A:$A,$A73,'Week1'!$H:$H)+SUMIF('Week2'!$A:$A,$A73,'Week2'!$H:$H)+SUMIF('Week3'!$A:$A,$A73,'Week3'!$H:$H)+SUMIF('Week4'!$A:$A,$A73,'Week4'!$H:$H)</f>
        <v/>
      </c>
      <c r="I73" s="7">
        <f>SUMIF('Week1'!$A:$A,$A73,'Week1'!$I:$I)+SUMIF('Week2'!$A:$A,$A73,'Week2'!$I:$I)+SUMIF('Week3'!$A:$A,$A73,'Week3'!$I:$I)+SUMIF('Week4'!$A:$A,$A73,'Week4'!$I:$I)</f>
        <v/>
      </c>
      <c r="J73" s="7">
        <f>SUMIF('Week1'!$A:$A,$A73,'Week1'!$J:$J)+SUMIF('Week2'!$A:$A,$A73,'Week2'!$J:$J)+SUMIF('Week3'!$A:$A,$A73,'Week3'!$J:$J)+SUMIF('Week4'!$A:$A,$A73,'Week4'!$J:$J)</f>
        <v/>
      </c>
      <c r="K73" s="7">
        <f>SUMIF('Week1'!$A:$A,$A73,'Week1'!$K:$K)+SUMIF('Week2'!$A:$A,$A73,'Week2'!$K:$K)+SUMIF('Week3'!$A:$A,$A73,'Week3'!$K:$K)+SUMIF('Week4'!$A:$A,$A73,'Week4'!$K:$K)</f>
        <v/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7">
        <f>SUMIF('Week1'!$A:$A,$A74,'Week1'!$D:$D)+SUMIF('Week2'!$A:$A,$A74,'Week2'!$D:$D)+SUMIF('Week3'!$A:$A,$A74,'Week3'!$D:$D)+SUMIF('Week4'!$A:$A,$A74,'Week4'!$D:$D)</f>
        <v/>
      </c>
      <c r="E74" s="7">
        <f>SUMIF('Week1'!$A:$A,$A74,'Week1'!$E:$E)+SUMIF('Week2'!$A:$A,$A74,'Week2'!$E:$E)+SUMIF('Week3'!$A:$A,$A74,'Week3'!$E:$E)+SUMIF('Week4'!$A:$A,$A74,'Week4'!$E:$E)</f>
        <v/>
      </c>
      <c r="F74" s="7">
        <f>SUMIF('Week1'!$A:$A,$A74,'Week1'!$F:$F)+SUMIF('Week2'!$A:$A,$A74,'Week2'!$F:$F)+SUMIF('Week3'!$A:$A,$A74,'Week3'!$F:$F)+SUMIF('Week4'!$A:$A,$A74,'Week4'!$F:$F)</f>
        <v/>
      </c>
      <c r="G74" s="7">
        <f>SUMIF('Week1'!$A:$A,$A74,'Week1'!$G:$G)+SUMIF('Week2'!$A:$A,$A74,'Week2'!$G:$G)+SUMIF('Week3'!$A:$A,$A74,'Week3'!$G:$G)+SUMIF('Week4'!$A:$A,$A74,'Week4'!$G:$G)</f>
        <v/>
      </c>
      <c r="H74" s="7">
        <f>SUMIF('Week1'!$A:$A,$A74,'Week1'!$H:$H)+SUMIF('Week2'!$A:$A,$A74,'Week2'!$H:$H)+SUMIF('Week3'!$A:$A,$A74,'Week3'!$H:$H)+SUMIF('Week4'!$A:$A,$A74,'Week4'!$H:$H)</f>
        <v/>
      </c>
      <c r="I74" s="7">
        <f>SUMIF('Week1'!$A:$A,$A74,'Week1'!$I:$I)+SUMIF('Week2'!$A:$A,$A74,'Week2'!$I:$I)+SUMIF('Week3'!$A:$A,$A74,'Week3'!$I:$I)+SUMIF('Week4'!$A:$A,$A74,'Week4'!$I:$I)</f>
        <v/>
      </c>
      <c r="J74" s="7">
        <f>SUMIF('Week1'!$A:$A,$A74,'Week1'!$J:$J)+SUMIF('Week2'!$A:$A,$A74,'Week2'!$J:$J)+SUMIF('Week3'!$A:$A,$A74,'Week3'!$J:$J)+SUMIF('Week4'!$A:$A,$A74,'Week4'!$J:$J)</f>
        <v/>
      </c>
      <c r="K74" s="7">
        <f>SUMIF('Week1'!$A:$A,$A74,'Week1'!$K:$K)+SUMIF('Week2'!$A:$A,$A74,'Week2'!$K:$K)+SUMIF('Week3'!$A:$A,$A74,'Week3'!$K:$K)+SUMIF('Week4'!$A:$A,$A74,'Week4'!$K:$K)</f>
        <v/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7">
        <f>SUMIF('Week1'!$A:$A,$A75,'Week1'!$D:$D)+SUMIF('Week2'!$A:$A,$A75,'Week2'!$D:$D)+SUMIF('Week3'!$A:$A,$A75,'Week3'!$D:$D)+SUMIF('Week4'!$A:$A,$A75,'Week4'!$D:$D)</f>
        <v/>
      </c>
      <c r="E75" s="7">
        <f>SUMIF('Week1'!$A:$A,$A75,'Week1'!$E:$E)+SUMIF('Week2'!$A:$A,$A75,'Week2'!$E:$E)+SUMIF('Week3'!$A:$A,$A75,'Week3'!$E:$E)+SUMIF('Week4'!$A:$A,$A75,'Week4'!$E:$E)</f>
        <v/>
      </c>
      <c r="F75" s="7">
        <f>SUMIF('Week1'!$A:$A,$A75,'Week1'!$F:$F)+SUMIF('Week2'!$A:$A,$A75,'Week2'!$F:$F)+SUMIF('Week3'!$A:$A,$A75,'Week3'!$F:$F)+SUMIF('Week4'!$A:$A,$A75,'Week4'!$F:$F)</f>
        <v/>
      </c>
      <c r="G75" s="7">
        <f>SUMIF('Week1'!$A:$A,$A75,'Week1'!$G:$G)+SUMIF('Week2'!$A:$A,$A75,'Week2'!$G:$G)+SUMIF('Week3'!$A:$A,$A75,'Week3'!$G:$G)+SUMIF('Week4'!$A:$A,$A75,'Week4'!$G:$G)</f>
        <v/>
      </c>
      <c r="H75" s="7">
        <f>SUMIF('Week1'!$A:$A,$A75,'Week1'!$H:$H)+SUMIF('Week2'!$A:$A,$A75,'Week2'!$H:$H)+SUMIF('Week3'!$A:$A,$A75,'Week3'!$H:$H)+SUMIF('Week4'!$A:$A,$A75,'Week4'!$H:$H)</f>
        <v/>
      </c>
      <c r="I75" s="7">
        <f>SUMIF('Week1'!$A:$A,$A75,'Week1'!$I:$I)+SUMIF('Week2'!$A:$A,$A75,'Week2'!$I:$I)+SUMIF('Week3'!$A:$A,$A75,'Week3'!$I:$I)+SUMIF('Week4'!$A:$A,$A75,'Week4'!$I:$I)</f>
        <v/>
      </c>
      <c r="J75" s="7">
        <f>SUMIF('Week1'!$A:$A,$A75,'Week1'!$J:$J)+SUMIF('Week2'!$A:$A,$A75,'Week2'!$J:$J)+SUMIF('Week3'!$A:$A,$A75,'Week3'!$J:$J)+SUMIF('Week4'!$A:$A,$A75,'Week4'!$J:$J)</f>
        <v/>
      </c>
      <c r="K75" s="7">
        <f>SUMIF('Week1'!$A:$A,$A75,'Week1'!$K:$K)+SUMIF('Week2'!$A:$A,$A75,'Week2'!$K:$K)+SUMIF('Week3'!$A:$A,$A75,'Week3'!$K:$K)+SUMIF('Week4'!$A:$A,$A75,'Week4'!$K:$K)</f>
        <v/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7">
        <f>SUMIF('Week1'!$A:$A,$A76,'Week1'!$D:$D)+SUMIF('Week2'!$A:$A,$A76,'Week2'!$D:$D)+SUMIF('Week3'!$A:$A,$A76,'Week3'!$D:$D)+SUMIF('Week4'!$A:$A,$A76,'Week4'!$D:$D)</f>
        <v/>
      </c>
      <c r="E76" s="7">
        <f>SUMIF('Week1'!$A:$A,$A76,'Week1'!$E:$E)+SUMIF('Week2'!$A:$A,$A76,'Week2'!$E:$E)+SUMIF('Week3'!$A:$A,$A76,'Week3'!$E:$E)+SUMIF('Week4'!$A:$A,$A76,'Week4'!$E:$E)</f>
        <v/>
      </c>
      <c r="F76" s="7">
        <f>SUMIF('Week1'!$A:$A,$A76,'Week1'!$F:$F)+SUMIF('Week2'!$A:$A,$A76,'Week2'!$F:$F)+SUMIF('Week3'!$A:$A,$A76,'Week3'!$F:$F)+SUMIF('Week4'!$A:$A,$A76,'Week4'!$F:$F)</f>
        <v/>
      </c>
      <c r="G76" s="7">
        <f>SUMIF('Week1'!$A:$A,$A76,'Week1'!$G:$G)+SUMIF('Week2'!$A:$A,$A76,'Week2'!$G:$G)+SUMIF('Week3'!$A:$A,$A76,'Week3'!$G:$G)+SUMIF('Week4'!$A:$A,$A76,'Week4'!$G:$G)</f>
        <v/>
      </c>
      <c r="H76" s="7">
        <f>SUMIF('Week1'!$A:$A,$A76,'Week1'!$H:$H)+SUMIF('Week2'!$A:$A,$A76,'Week2'!$H:$H)+SUMIF('Week3'!$A:$A,$A76,'Week3'!$H:$H)+SUMIF('Week4'!$A:$A,$A76,'Week4'!$H:$H)</f>
        <v/>
      </c>
      <c r="I76" s="7">
        <f>SUMIF('Week1'!$A:$A,$A76,'Week1'!$I:$I)+SUMIF('Week2'!$A:$A,$A76,'Week2'!$I:$I)+SUMIF('Week3'!$A:$A,$A76,'Week3'!$I:$I)+SUMIF('Week4'!$A:$A,$A76,'Week4'!$I:$I)</f>
        <v/>
      </c>
      <c r="J76" s="7">
        <f>SUMIF('Week1'!$A:$A,$A76,'Week1'!$J:$J)+SUMIF('Week2'!$A:$A,$A76,'Week2'!$J:$J)+SUMIF('Week3'!$A:$A,$A76,'Week3'!$J:$J)+SUMIF('Week4'!$A:$A,$A76,'Week4'!$J:$J)</f>
        <v/>
      </c>
      <c r="K76" s="7">
        <f>SUMIF('Week1'!$A:$A,$A76,'Week1'!$K:$K)+SUMIF('Week2'!$A:$A,$A76,'Week2'!$K:$K)+SUMIF('Week3'!$A:$A,$A76,'Week3'!$K:$K)+SUMIF('Week4'!$A:$A,$A76,'Week4'!$K:$K)</f>
        <v/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7">
        <f>SUMIF('Week1'!$A:$A,$A77,'Week1'!$D:$D)+SUMIF('Week2'!$A:$A,$A77,'Week2'!$D:$D)+SUMIF('Week3'!$A:$A,$A77,'Week3'!$D:$D)+SUMIF('Week4'!$A:$A,$A77,'Week4'!$D:$D)</f>
        <v/>
      </c>
      <c r="E77" s="7">
        <f>SUMIF('Week1'!$A:$A,$A77,'Week1'!$E:$E)+SUMIF('Week2'!$A:$A,$A77,'Week2'!$E:$E)+SUMIF('Week3'!$A:$A,$A77,'Week3'!$E:$E)+SUMIF('Week4'!$A:$A,$A77,'Week4'!$E:$E)</f>
        <v/>
      </c>
      <c r="F77" s="7">
        <f>SUMIF('Week1'!$A:$A,$A77,'Week1'!$F:$F)+SUMIF('Week2'!$A:$A,$A77,'Week2'!$F:$F)+SUMIF('Week3'!$A:$A,$A77,'Week3'!$F:$F)+SUMIF('Week4'!$A:$A,$A77,'Week4'!$F:$F)</f>
        <v/>
      </c>
      <c r="G77" s="7">
        <f>SUMIF('Week1'!$A:$A,$A77,'Week1'!$G:$G)+SUMIF('Week2'!$A:$A,$A77,'Week2'!$G:$G)+SUMIF('Week3'!$A:$A,$A77,'Week3'!$G:$G)+SUMIF('Week4'!$A:$A,$A77,'Week4'!$G:$G)</f>
        <v/>
      </c>
      <c r="H77" s="7">
        <f>SUMIF('Week1'!$A:$A,$A77,'Week1'!$H:$H)+SUMIF('Week2'!$A:$A,$A77,'Week2'!$H:$H)+SUMIF('Week3'!$A:$A,$A77,'Week3'!$H:$H)+SUMIF('Week4'!$A:$A,$A77,'Week4'!$H:$H)</f>
        <v/>
      </c>
      <c r="I77" s="7">
        <f>SUMIF('Week1'!$A:$A,$A77,'Week1'!$I:$I)+SUMIF('Week2'!$A:$A,$A77,'Week2'!$I:$I)+SUMIF('Week3'!$A:$A,$A77,'Week3'!$I:$I)+SUMIF('Week4'!$A:$A,$A77,'Week4'!$I:$I)</f>
        <v/>
      </c>
      <c r="J77" s="7">
        <f>SUMIF('Week1'!$A:$A,$A77,'Week1'!$J:$J)+SUMIF('Week2'!$A:$A,$A77,'Week2'!$J:$J)+SUMIF('Week3'!$A:$A,$A77,'Week3'!$J:$J)+SUMIF('Week4'!$A:$A,$A77,'Week4'!$J:$J)</f>
        <v/>
      </c>
      <c r="K77" s="7">
        <f>SUMIF('Week1'!$A:$A,$A77,'Week1'!$K:$K)+SUMIF('Week2'!$A:$A,$A77,'Week2'!$K:$K)+SUMIF('Week3'!$A:$A,$A77,'Week3'!$K:$K)+SUMIF('Week4'!$A:$A,$A77,'Week4'!$K:$K)</f>
        <v/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7">
        <f>SUMIF('Week1'!$A:$A,$A78,'Week1'!$D:$D)+SUMIF('Week2'!$A:$A,$A78,'Week2'!$D:$D)+SUMIF('Week3'!$A:$A,$A78,'Week3'!$D:$D)+SUMIF('Week4'!$A:$A,$A78,'Week4'!$D:$D)</f>
        <v/>
      </c>
      <c r="E78" s="7">
        <f>SUMIF('Week1'!$A:$A,$A78,'Week1'!$E:$E)+SUMIF('Week2'!$A:$A,$A78,'Week2'!$E:$E)+SUMIF('Week3'!$A:$A,$A78,'Week3'!$E:$E)+SUMIF('Week4'!$A:$A,$A78,'Week4'!$E:$E)</f>
        <v/>
      </c>
      <c r="F78" s="7">
        <f>SUMIF('Week1'!$A:$A,$A78,'Week1'!$F:$F)+SUMIF('Week2'!$A:$A,$A78,'Week2'!$F:$F)+SUMIF('Week3'!$A:$A,$A78,'Week3'!$F:$F)+SUMIF('Week4'!$A:$A,$A78,'Week4'!$F:$F)</f>
        <v/>
      </c>
      <c r="G78" s="7">
        <f>SUMIF('Week1'!$A:$A,$A78,'Week1'!$G:$G)+SUMIF('Week2'!$A:$A,$A78,'Week2'!$G:$G)+SUMIF('Week3'!$A:$A,$A78,'Week3'!$G:$G)+SUMIF('Week4'!$A:$A,$A78,'Week4'!$G:$G)</f>
        <v/>
      </c>
      <c r="H78" s="7">
        <f>SUMIF('Week1'!$A:$A,$A78,'Week1'!$H:$H)+SUMIF('Week2'!$A:$A,$A78,'Week2'!$H:$H)+SUMIF('Week3'!$A:$A,$A78,'Week3'!$H:$H)+SUMIF('Week4'!$A:$A,$A78,'Week4'!$H:$H)</f>
        <v/>
      </c>
      <c r="I78" s="7">
        <f>SUMIF('Week1'!$A:$A,$A78,'Week1'!$I:$I)+SUMIF('Week2'!$A:$A,$A78,'Week2'!$I:$I)+SUMIF('Week3'!$A:$A,$A78,'Week3'!$I:$I)+SUMIF('Week4'!$A:$A,$A78,'Week4'!$I:$I)</f>
        <v/>
      </c>
      <c r="J78" s="7">
        <f>SUMIF('Week1'!$A:$A,$A78,'Week1'!$J:$J)+SUMIF('Week2'!$A:$A,$A78,'Week2'!$J:$J)+SUMIF('Week3'!$A:$A,$A78,'Week3'!$J:$J)+SUMIF('Week4'!$A:$A,$A78,'Week4'!$J:$J)</f>
        <v/>
      </c>
      <c r="K78" s="7">
        <f>SUMIF('Week1'!$A:$A,$A78,'Week1'!$K:$K)+SUMIF('Week2'!$A:$A,$A78,'Week2'!$K:$K)+SUMIF('Week3'!$A:$A,$A78,'Week3'!$K:$K)+SUMIF('Week4'!$A:$A,$A78,'Week4'!$K:$K)</f>
        <v/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7">
        <f>SUMIF('Week1'!$A:$A,$A79,'Week1'!$D:$D)+SUMIF('Week2'!$A:$A,$A79,'Week2'!$D:$D)+SUMIF('Week3'!$A:$A,$A79,'Week3'!$D:$D)+SUMIF('Week4'!$A:$A,$A79,'Week4'!$D:$D)</f>
        <v/>
      </c>
      <c r="E79" s="7">
        <f>SUMIF('Week1'!$A:$A,$A79,'Week1'!$E:$E)+SUMIF('Week2'!$A:$A,$A79,'Week2'!$E:$E)+SUMIF('Week3'!$A:$A,$A79,'Week3'!$E:$E)+SUMIF('Week4'!$A:$A,$A79,'Week4'!$E:$E)</f>
        <v/>
      </c>
      <c r="F79" s="7">
        <f>SUMIF('Week1'!$A:$A,$A79,'Week1'!$F:$F)+SUMIF('Week2'!$A:$A,$A79,'Week2'!$F:$F)+SUMIF('Week3'!$A:$A,$A79,'Week3'!$F:$F)+SUMIF('Week4'!$A:$A,$A79,'Week4'!$F:$F)</f>
        <v/>
      </c>
      <c r="G79" s="7">
        <f>SUMIF('Week1'!$A:$A,$A79,'Week1'!$G:$G)+SUMIF('Week2'!$A:$A,$A79,'Week2'!$G:$G)+SUMIF('Week3'!$A:$A,$A79,'Week3'!$G:$G)+SUMIF('Week4'!$A:$A,$A79,'Week4'!$G:$G)</f>
        <v/>
      </c>
      <c r="H79" s="7">
        <f>SUMIF('Week1'!$A:$A,$A79,'Week1'!$H:$H)+SUMIF('Week2'!$A:$A,$A79,'Week2'!$H:$H)+SUMIF('Week3'!$A:$A,$A79,'Week3'!$H:$H)+SUMIF('Week4'!$A:$A,$A79,'Week4'!$H:$H)</f>
        <v/>
      </c>
      <c r="I79" s="7">
        <f>SUMIF('Week1'!$A:$A,$A79,'Week1'!$I:$I)+SUMIF('Week2'!$A:$A,$A79,'Week2'!$I:$I)+SUMIF('Week3'!$A:$A,$A79,'Week3'!$I:$I)+SUMIF('Week4'!$A:$A,$A79,'Week4'!$I:$I)</f>
        <v/>
      </c>
      <c r="J79" s="7">
        <f>SUMIF('Week1'!$A:$A,$A79,'Week1'!$J:$J)+SUMIF('Week2'!$A:$A,$A79,'Week2'!$J:$J)+SUMIF('Week3'!$A:$A,$A79,'Week3'!$J:$J)+SUMIF('Week4'!$A:$A,$A79,'Week4'!$J:$J)</f>
        <v/>
      </c>
      <c r="K79" s="7">
        <f>SUMIF('Week1'!$A:$A,$A79,'Week1'!$K:$K)+SUMIF('Week2'!$A:$A,$A79,'Week2'!$K:$K)+SUMIF('Week3'!$A:$A,$A79,'Week3'!$K:$K)+SUMIF('Week4'!$A:$A,$A79,'Week4'!$K:$K)</f>
        <v/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7">
        <f>SUMIF('Week1'!$A:$A,$A80,'Week1'!$D:$D)+SUMIF('Week2'!$A:$A,$A80,'Week2'!$D:$D)+SUMIF('Week3'!$A:$A,$A80,'Week3'!$D:$D)+SUMIF('Week4'!$A:$A,$A80,'Week4'!$D:$D)</f>
        <v/>
      </c>
      <c r="E80" s="7">
        <f>SUMIF('Week1'!$A:$A,$A80,'Week1'!$E:$E)+SUMIF('Week2'!$A:$A,$A80,'Week2'!$E:$E)+SUMIF('Week3'!$A:$A,$A80,'Week3'!$E:$E)+SUMIF('Week4'!$A:$A,$A80,'Week4'!$E:$E)</f>
        <v/>
      </c>
      <c r="F80" s="7">
        <f>SUMIF('Week1'!$A:$A,$A80,'Week1'!$F:$F)+SUMIF('Week2'!$A:$A,$A80,'Week2'!$F:$F)+SUMIF('Week3'!$A:$A,$A80,'Week3'!$F:$F)+SUMIF('Week4'!$A:$A,$A80,'Week4'!$F:$F)</f>
        <v/>
      </c>
      <c r="G80" s="7">
        <f>SUMIF('Week1'!$A:$A,$A80,'Week1'!$G:$G)+SUMIF('Week2'!$A:$A,$A80,'Week2'!$G:$G)+SUMIF('Week3'!$A:$A,$A80,'Week3'!$G:$G)+SUMIF('Week4'!$A:$A,$A80,'Week4'!$G:$G)</f>
        <v/>
      </c>
      <c r="H80" s="7">
        <f>SUMIF('Week1'!$A:$A,$A80,'Week1'!$H:$H)+SUMIF('Week2'!$A:$A,$A80,'Week2'!$H:$H)+SUMIF('Week3'!$A:$A,$A80,'Week3'!$H:$H)+SUMIF('Week4'!$A:$A,$A80,'Week4'!$H:$H)</f>
        <v/>
      </c>
      <c r="I80" s="7">
        <f>SUMIF('Week1'!$A:$A,$A80,'Week1'!$I:$I)+SUMIF('Week2'!$A:$A,$A80,'Week2'!$I:$I)+SUMIF('Week3'!$A:$A,$A80,'Week3'!$I:$I)+SUMIF('Week4'!$A:$A,$A80,'Week4'!$I:$I)</f>
        <v/>
      </c>
      <c r="J80" s="7">
        <f>SUMIF('Week1'!$A:$A,$A80,'Week1'!$J:$J)+SUMIF('Week2'!$A:$A,$A80,'Week2'!$J:$J)+SUMIF('Week3'!$A:$A,$A80,'Week3'!$J:$J)+SUMIF('Week4'!$A:$A,$A80,'Week4'!$J:$J)</f>
        <v/>
      </c>
      <c r="K80" s="7">
        <f>SUMIF('Week1'!$A:$A,$A80,'Week1'!$K:$K)+SUMIF('Week2'!$A:$A,$A80,'Week2'!$K:$K)+SUMIF('Week3'!$A:$A,$A80,'Week3'!$K:$K)+SUMIF('Week4'!$A:$A,$A80,'Week4'!$K:$K)</f>
        <v/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7">
        <f>SUMIF('Week1'!$A:$A,$A81,'Week1'!$D:$D)+SUMIF('Week2'!$A:$A,$A81,'Week2'!$D:$D)+SUMIF('Week3'!$A:$A,$A81,'Week3'!$D:$D)+SUMIF('Week4'!$A:$A,$A81,'Week4'!$D:$D)</f>
        <v/>
      </c>
      <c r="E81" s="7">
        <f>SUMIF('Week1'!$A:$A,$A81,'Week1'!$E:$E)+SUMIF('Week2'!$A:$A,$A81,'Week2'!$E:$E)+SUMIF('Week3'!$A:$A,$A81,'Week3'!$E:$E)+SUMIF('Week4'!$A:$A,$A81,'Week4'!$E:$E)</f>
        <v/>
      </c>
      <c r="F81" s="7">
        <f>SUMIF('Week1'!$A:$A,$A81,'Week1'!$F:$F)+SUMIF('Week2'!$A:$A,$A81,'Week2'!$F:$F)+SUMIF('Week3'!$A:$A,$A81,'Week3'!$F:$F)+SUMIF('Week4'!$A:$A,$A81,'Week4'!$F:$F)</f>
        <v/>
      </c>
      <c r="G81" s="7">
        <f>SUMIF('Week1'!$A:$A,$A81,'Week1'!$G:$G)+SUMIF('Week2'!$A:$A,$A81,'Week2'!$G:$G)+SUMIF('Week3'!$A:$A,$A81,'Week3'!$G:$G)+SUMIF('Week4'!$A:$A,$A81,'Week4'!$G:$G)</f>
        <v/>
      </c>
      <c r="H81" s="7">
        <f>SUMIF('Week1'!$A:$A,$A81,'Week1'!$H:$H)+SUMIF('Week2'!$A:$A,$A81,'Week2'!$H:$H)+SUMIF('Week3'!$A:$A,$A81,'Week3'!$H:$H)+SUMIF('Week4'!$A:$A,$A81,'Week4'!$H:$H)</f>
        <v/>
      </c>
      <c r="I81" s="7">
        <f>SUMIF('Week1'!$A:$A,$A81,'Week1'!$I:$I)+SUMIF('Week2'!$A:$A,$A81,'Week2'!$I:$I)+SUMIF('Week3'!$A:$A,$A81,'Week3'!$I:$I)+SUMIF('Week4'!$A:$A,$A81,'Week4'!$I:$I)</f>
        <v/>
      </c>
      <c r="J81" s="7">
        <f>SUMIF('Week1'!$A:$A,$A81,'Week1'!$J:$J)+SUMIF('Week2'!$A:$A,$A81,'Week2'!$J:$J)+SUMIF('Week3'!$A:$A,$A81,'Week3'!$J:$J)+SUMIF('Week4'!$A:$A,$A81,'Week4'!$J:$J)</f>
        <v/>
      </c>
      <c r="K81" s="7">
        <f>SUMIF('Week1'!$A:$A,$A81,'Week1'!$K:$K)+SUMIF('Week2'!$A:$A,$A81,'Week2'!$K:$K)+SUMIF('Week3'!$A:$A,$A81,'Week3'!$K:$K)+SUMIF('Week4'!$A:$A,$A81,'Week4'!$K:$K)</f>
        <v/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7">
        <f>SUMIF('Week1'!$A:$A,$A82,'Week1'!$D:$D)+SUMIF('Week2'!$A:$A,$A82,'Week2'!$D:$D)+SUMIF('Week3'!$A:$A,$A82,'Week3'!$D:$D)+SUMIF('Week4'!$A:$A,$A82,'Week4'!$D:$D)</f>
        <v/>
      </c>
      <c r="E82" s="7">
        <f>SUMIF('Week1'!$A:$A,$A82,'Week1'!$E:$E)+SUMIF('Week2'!$A:$A,$A82,'Week2'!$E:$E)+SUMIF('Week3'!$A:$A,$A82,'Week3'!$E:$E)+SUMIF('Week4'!$A:$A,$A82,'Week4'!$E:$E)</f>
        <v/>
      </c>
      <c r="F82" s="7">
        <f>SUMIF('Week1'!$A:$A,$A82,'Week1'!$F:$F)+SUMIF('Week2'!$A:$A,$A82,'Week2'!$F:$F)+SUMIF('Week3'!$A:$A,$A82,'Week3'!$F:$F)+SUMIF('Week4'!$A:$A,$A82,'Week4'!$F:$F)</f>
        <v/>
      </c>
      <c r="G82" s="7">
        <f>SUMIF('Week1'!$A:$A,$A82,'Week1'!$G:$G)+SUMIF('Week2'!$A:$A,$A82,'Week2'!$G:$G)+SUMIF('Week3'!$A:$A,$A82,'Week3'!$G:$G)+SUMIF('Week4'!$A:$A,$A82,'Week4'!$G:$G)</f>
        <v/>
      </c>
      <c r="H82" s="7">
        <f>SUMIF('Week1'!$A:$A,$A82,'Week1'!$H:$H)+SUMIF('Week2'!$A:$A,$A82,'Week2'!$H:$H)+SUMIF('Week3'!$A:$A,$A82,'Week3'!$H:$H)+SUMIF('Week4'!$A:$A,$A82,'Week4'!$H:$H)</f>
        <v/>
      </c>
      <c r="I82" s="7">
        <f>SUMIF('Week1'!$A:$A,$A82,'Week1'!$I:$I)+SUMIF('Week2'!$A:$A,$A82,'Week2'!$I:$I)+SUMIF('Week3'!$A:$A,$A82,'Week3'!$I:$I)+SUMIF('Week4'!$A:$A,$A82,'Week4'!$I:$I)</f>
        <v/>
      </c>
      <c r="J82" s="7">
        <f>SUMIF('Week1'!$A:$A,$A82,'Week1'!$J:$J)+SUMIF('Week2'!$A:$A,$A82,'Week2'!$J:$J)+SUMIF('Week3'!$A:$A,$A82,'Week3'!$J:$J)+SUMIF('Week4'!$A:$A,$A82,'Week4'!$J:$J)</f>
        <v/>
      </c>
      <c r="K82" s="7">
        <f>SUMIF('Week1'!$A:$A,$A82,'Week1'!$K:$K)+SUMIF('Week2'!$A:$A,$A82,'Week2'!$K:$K)+SUMIF('Week3'!$A:$A,$A82,'Week3'!$K:$K)+SUMIF('Week4'!$A:$A,$A82,'Week4'!$K:$K)</f>
        <v/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7">
        <f>SUMIF('Week1'!$A:$A,$A83,'Week1'!$D:$D)+SUMIF('Week2'!$A:$A,$A83,'Week2'!$D:$D)+SUMIF('Week3'!$A:$A,$A83,'Week3'!$D:$D)+SUMIF('Week4'!$A:$A,$A83,'Week4'!$D:$D)</f>
        <v/>
      </c>
      <c r="E83" s="7">
        <f>SUMIF('Week1'!$A:$A,$A83,'Week1'!$E:$E)+SUMIF('Week2'!$A:$A,$A83,'Week2'!$E:$E)+SUMIF('Week3'!$A:$A,$A83,'Week3'!$E:$E)+SUMIF('Week4'!$A:$A,$A83,'Week4'!$E:$E)</f>
        <v/>
      </c>
      <c r="F83" s="7">
        <f>SUMIF('Week1'!$A:$A,$A83,'Week1'!$F:$F)+SUMIF('Week2'!$A:$A,$A83,'Week2'!$F:$F)+SUMIF('Week3'!$A:$A,$A83,'Week3'!$F:$F)+SUMIF('Week4'!$A:$A,$A83,'Week4'!$F:$F)</f>
        <v/>
      </c>
      <c r="G83" s="7">
        <f>SUMIF('Week1'!$A:$A,$A83,'Week1'!$G:$G)+SUMIF('Week2'!$A:$A,$A83,'Week2'!$G:$G)+SUMIF('Week3'!$A:$A,$A83,'Week3'!$G:$G)+SUMIF('Week4'!$A:$A,$A83,'Week4'!$G:$G)</f>
        <v/>
      </c>
      <c r="H83" s="7">
        <f>SUMIF('Week1'!$A:$A,$A83,'Week1'!$H:$H)+SUMIF('Week2'!$A:$A,$A83,'Week2'!$H:$H)+SUMIF('Week3'!$A:$A,$A83,'Week3'!$H:$H)+SUMIF('Week4'!$A:$A,$A83,'Week4'!$H:$H)</f>
        <v/>
      </c>
      <c r="I83" s="7">
        <f>SUMIF('Week1'!$A:$A,$A83,'Week1'!$I:$I)+SUMIF('Week2'!$A:$A,$A83,'Week2'!$I:$I)+SUMIF('Week3'!$A:$A,$A83,'Week3'!$I:$I)+SUMIF('Week4'!$A:$A,$A83,'Week4'!$I:$I)</f>
        <v/>
      </c>
      <c r="J83" s="7">
        <f>SUMIF('Week1'!$A:$A,$A83,'Week1'!$J:$J)+SUMIF('Week2'!$A:$A,$A83,'Week2'!$J:$J)+SUMIF('Week3'!$A:$A,$A83,'Week3'!$J:$J)+SUMIF('Week4'!$A:$A,$A83,'Week4'!$J:$J)</f>
        <v/>
      </c>
      <c r="K83" s="7">
        <f>SUMIF('Week1'!$A:$A,$A83,'Week1'!$K:$K)+SUMIF('Week2'!$A:$A,$A83,'Week2'!$K:$K)+SUMIF('Week3'!$A:$A,$A83,'Week3'!$K:$K)+SUMIF('Week4'!$A:$A,$A83,'Week4'!$K:$K)</f>
        <v/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7">
        <f>SUMIF('Week1'!$A:$A,$A84,'Week1'!$D:$D)+SUMIF('Week2'!$A:$A,$A84,'Week2'!$D:$D)+SUMIF('Week3'!$A:$A,$A84,'Week3'!$D:$D)+SUMIF('Week4'!$A:$A,$A84,'Week4'!$D:$D)</f>
        <v/>
      </c>
      <c r="E84" s="7">
        <f>SUMIF('Week1'!$A:$A,$A84,'Week1'!$E:$E)+SUMIF('Week2'!$A:$A,$A84,'Week2'!$E:$E)+SUMIF('Week3'!$A:$A,$A84,'Week3'!$E:$E)+SUMIF('Week4'!$A:$A,$A84,'Week4'!$E:$E)</f>
        <v/>
      </c>
      <c r="F84" s="7">
        <f>SUMIF('Week1'!$A:$A,$A84,'Week1'!$F:$F)+SUMIF('Week2'!$A:$A,$A84,'Week2'!$F:$F)+SUMIF('Week3'!$A:$A,$A84,'Week3'!$F:$F)+SUMIF('Week4'!$A:$A,$A84,'Week4'!$F:$F)</f>
        <v/>
      </c>
      <c r="G84" s="7">
        <f>SUMIF('Week1'!$A:$A,$A84,'Week1'!$G:$G)+SUMIF('Week2'!$A:$A,$A84,'Week2'!$G:$G)+SUMIF('Week3'!$A:$A,$A84,'Week3'!$G:$G)+SUMIF('Week4'!$A:$A,$A84,'Week4'!$G:$G)</f>
        <v/>
      </c>
      <c r="H84" s="7">
        <f>SUMIF('Week1'!$A:$A,$A84,'Week1'!$H:$H)+SUMIF('Week2'!$A:$A,$A84,'Week2'!$H:$H)+SUMIF('Week3'!$A:$A,$A84,'Week3'!$H:$H)+SUMIF('Week4'!$A:$A,$A84,'Week4'!$H:$H)</f>
        <v/>
      </c>
      <c r="I84" s="7">
        <f>SUMIF('Week1'!$A:$A,$A84,'Week1'!$I:$I)+SUMIF('Week2'!$A:$A,$A84,'Week2'!$I:$I)+SUMIF('Week3'!$A:$A,$A84,'Week3'!$I:$I)+SUMIF('Week4'!$A:$A,$A84,'Week4'!$I:$I)</f>
        <v/>
      </c>
      <c r="J84" s="7">
        <f>SUMIF('Week1'!$A:$A,$A84,'Week1'!$J:$J)+SUMIF('Week2'!$A:$A,$A84,'Week2'!$J:$J)+SUMIF('Week3'!$A:$A,$A84,'Week3'!$J:$J)+SUMIF('Week4'!$A:$A,$A84,'Week4'!$J:$J)</f>
        <v/>
      </c>
      <c r="K84" s="7">
        <f>SUMIF('Week1'!$A:$A,$A84,'Week1'!$K:$K)+SUMIF('Week2'!$A:$A,$A84,'Week2'!$K:$K)+SUMIF('Week3'!$A:$A,$A84,'Week3'!$K:$K)+SUMIF('Week4'!$A:$A,$A84,'Week4'!$K:$K)</f>
        <v/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7">
        <f>SUMIF('Week1'!$A:$A,$A85,'Week1'!$D:$D)+SUMIF('Week2'!$A:$A,$A85,'Week2'!$D:$D)+SUMIF('Week3'!$A:$A,$A85,'Week3'!$D:$D)+SUMIF('Week4'!$A:$A,$A85,'Week4'!$D:$D)</f>
        <v/>
      </c>
      <c r="E85" s="7">
        <f>SUMIF('Week1'!$A:$A,$A85,'Week1'!$E:$E)+SUMIF('Week2'!$A:$A,$A85,'Week2'!$E:$E)+SUMIF('Week3'!$A:$A,$A85,'Week3'!$E:$E)+SUMIF('Week4'!$A:$A,$A85,'Week4'!$E:$E)</f>
        <v/>
      </c>
      <c r="F85" s="7">
        <f>SUMIF('Week1'!$A:$A,$A85,'Week1'!$F:$F)+SUMIF('Week2'!$A:$A,$A85,'Week2'!$F:$F)+SUMIF('Week3'!$A:$A,$A85,'Week3'!$F:$F)+SUMIF('Week4'!$A:$A,$A85,'Week4'!$F:$F)</f>
        <v/>
      </c>
      <c r="G85" s="7">
        <f>SUMIF('Week1'!$A:$A,$A85,'Week1'!$G:$G)+SUMIF('Week2'!$A:$A,$A85,'Week2'!$G:$G)+SUMIF('Week3'!$A:$A,$A85,'Week3'!$G:$G)+SUMIF('Week4'!$A:$A,$A85,'Week4'!$G:$G)</f>
        <v/>
      </c>
      <c r="H85" s="7">
        <f>SUMIF('Week1'!$A:$A,$A85,'Week1'!$H:$H)+SUMIF('Week2'!$A:$A,$A85,'Week2'!$H:$H)+SUMIF('Week3'!$A:$A,$A85,'Week3'!$H:$H)+SUMIF('Week4'!$A:$A,$A85,'Week4'!$H:$H)</f>
        <v/>
      </c>
      <c r="I85" s="7">
        <f>SUMIF('Week1'!$A:$A,$A85,'Week1'!$I:$I)+SUMIF('Week2'!$A:$A,$A85,'Week2'!$I:$I)+SUMIF('Week3'!$A:$A,$A85,'Week3'!$I:$I)+SUMIF('Week4'!$A:$A,$A85,'Week4'!$I:$I)</f>
        <v/>
      </c>
      <c r="J85" s="7">
        <f>SUMIF('Week1'!$A:$A,$A85,'Week1'!$J:$J)+SUMIF('Week2'!$A:$A,$A85,'Week2'!$J:$J)+SUMIF('Week3'!$A:$A,$A85,'Week3'!$J:$J)+SUMIF('Week4'!$A:$A,$A85,'Week4'!$J:$J)</f>
        <v/>
      </c>
      <c r="K85" s="7">
        <f>SUMIF('Week1'!$A:$A,$A85,'Week1'!$K:$K)+SUMIF('Week2'!$A:$A,$A85,'Week2'!$K:$K)+SUMIF('Week3'!$A:$A,$A85,'Week3'!$K:$K)+SUMIF('Week4'!$A:$A,$A85,'Week4'!$K:$K)</f>
        <v/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7">
        <f>SUMIF('Week1'!$A:$A,$A86,'Week1'!$D:$D)+SUMIF('Week2'!$A:$A,$A86,'Week2'!$D:$D)+SUMIF('Week3'!$A:$A,$A86,'Week3'!$D:$D)+SUMIF('Week4'!$A:$A,$A86,'Week4'!$D:$D)</f>
        <v/>
      </c>
      <c r="E86" s="7">
        <f>SUMIF('Week1'!$A:$A,$A86,'Week1'!$E:$E)+SUMIF('Week2'!$A:$A,$A86,'Week2'!$E:$E)+SUMIF('Week3'!$A:$A,$A86,'Week3'!$E:$E)+SUMIF('Week4'!$A:$A,$A86,'Week4'!$E:$E)</f>
        <v/>
      </c>
      <c r="F86" s="7">
        <f>SUMIF('Week1'!$A:$A,$A86,'Week1'!$F:$F)+SUMIF('Week2'!$A:$A,$A86,'Week2'!$F:$F)+SUMIF('Week3'!$A:$A,$A86,'Week3'!$F:$F)+SUMIF('Week4'!$A:$A,$A86,'Week4'!$F:$F)</f>
        <v/>
      </c>
      <c r="G86" s="7">
        <f>SUMIF('Week1'!$A:$A,$A86,'Week1'!$G:$G)+SUMIF('Week2'!$A:$A,$A86,'Week2'!$G:$G)+SUMIF('Week3'!$A:$A,$A86,'Week3'!$G:$G)+SUMIF('Week4'!$A:$A,$A86,'Week4'!$G:$G)</f>
        <v/>
      </c>
      <c r="H86" s="7">
        <f>SUMIF('Week1'!$A:$A,$A86,'Week1'!$H:$H)+SUMIF('Week2'!$A:$A,$A86,'Week2'!$H:$H)+SUMIF('Week3'!$A:$A,$A86,'Week3'!$H:$H)+SUMIF('Week4'!$A:$A,$A86,'Week4'!$H:$H)</f>
        <v/>
      </c>
      <c r="I86" s="7">
        <f>SUMIF('Week1'!$A:$A,$A86,'Week1'!$I:$I)+SUMIF('Week2'!$A:$A,$A86,'Week2'!$I:$I)+SUMIF('Week3'!$A:$A,$A86,'Week3'!$I:$I)+SUMIF('Week4'!$A:$A,$A86,'Week4'!$I:$I)</f>
        <v/>
      </c>
      <c r="J86" s="7">
        <f>SUMIF('Week1'!$A:$A,$A86,'Week1'!$J:$J)+SUMIF('Week2'!$A:$A,$A86,'Week2'!$J:$J)+SUMIF('Week3'!$A:$A,$A86,'Week3'!$J:$J)+SUMIF('Week4'!$A:$A,$A86,'Week4'!$J:$J)</f>
        <v/>
      </c>
      <c r="K86" s="7">
        <f>SUMIF('Week1'!$A:$A,$A86,'Week1'!$K:$K)+SUMIF('Week2'!$A:$A,$A86,'Week2'!$K:$K)+SUMIF('Week3'!$A:$A,$A86,'Week3'!$K:$K)+SUMIF('Week4'!$A:$A,$A86,'Week4'!$K:$K)</f>
        <v/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7">
        <f>SUMIF('Week1'!$A:$A,$A87,'Week1'!$D:$D)+SUMIF('Week2'!$A:$A,$A87,'Week2'!$D:$D)+SUMIF('Week3'!$A:$A,$A87,'Week3'!$D:$D)+SUMIF('Week4'!$A:$A,$A87,'Week4'!$D:$D)</f>
        <v/>
      </c>
      <c r="E87" s="7">
        <f>SUMIF('Week1'!$A:$A,$A87,'Week1'!$E:$E)+SUMIF('Week2'!$A:$A,$A87,'Week2'!$E:$E)+SUMIF('Week3'!$A:$A,$A87,'Week3'!$E:$E)+SUMIF('Week4'!$A:$A,$A87,'Week4'!$E:$E)</f>
        <v/>
      </c>
      <c r="F87" s="7">
        <f>SUMIF('Week1'!$A:$A,$A87,'Week1'!$F:$F)+SUMIF('Week2'!$A:$A,$A87,'Week2'!$F:$F)+SUMIF('Week3'!$A:$A,$A87,'Week3'!$F:$F)+SUMIF('Week4'!$A:$A,$A87,'Week4'!$F:$F)</f>
        <v/>
      </c>
      <c r="G87" s="7">
        <f>SUMIF('Week1'!$A:$A,$A87,'Week1'!$G:$G)+SUMIF('Week2'!$A:$A,$A87,'Week2'!$G:$G)+SUMIF('Week3'!$A:$A,$A87,'Week3'!$G:$G)+SUMIF('Week4'!$A:$A,$A87,'Week4'!$G:$G)</f>
        <v/>
      </c>
      <c r="H87" s="7">
        <f>SUMIF('Week1'!$A:$A,$A87,'Week1'!$H:$H)+SUMIF('Week2'!$A:$A,$A87,'Week2'!$H:$H)+SUMIF('Week3'!$A:$A,$A87,'Week3'!$H:$H)+SUMIF('Week4'!$A:$A,$A87,'Week4'!$H:$H)</f>
        <v/>
      </c>
      <c r="I87" s="7">
        <f>SUMIF('Week1'!$A:$A,$A87,'Week1'!$I:$I)+SUMIF('Week2'!$A:$A,$A87,'Week2'!$I:$I)+SUMIF('Week3'!$A:$A,$A87,'Week3'!$I:$I)+SUMIF('Week4'!$A:$A,$A87,'Week4'!$I:$I)</f>
        <v/>
      </c>
      <c r="J87" s="7">
        <f>SUMIF('Week1'!$A:$A,$A87,'Week1'!$J:$J)+SUMIF('Week2'!$A:$A,$A87,'Week2'!$J:$J)+SUMIF('Week3'!$A:$A,$A87,'Week3'!$J:$J)+SUMIF('Week4'!$A:$A,$A87,'Week4'!$J:$J)</f>
        <v/>
      </c>
      <c r="K87" s="7">
        <f>SUMIF('Week1'!$A:$A,$A87,'Week1'!$K:$K)+SUMIF('Week2'!$A:$A,$A87,'Week2'!$K:$K)+SUMIF('Week3'!$A:$A,$A87,'Week3'!$K:$K)+SUMIF('Week4'!$A:$A,$A87,'Week4'!$K:$K)</f>
        <v/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7">
        <f>SUMIF('Week1'!$A:$A,$A88,'Week1'!$D:$D)+SUMIF('Week2'!$A:$A,$A88,'Week2'!$D:$D)+SUMIF('Week3'!$A:$A,$A88,'Week3'!$D:$D)+SUMIF('Week4'!$A:$A,$A88,'Week4'!$D:$D)</f>
        <v/>
      </c>
      <c r="E88" s="7">
        <f>SUMIF('Week1'!$A:$A,$A88,'Week1'!$E:$E)+SUMIF('Week2'!$A:$A,$A88,'Week2'!$E:$E)+SUMIF('Week3'!$A:$A,$A88,'Week3'!$E:$E)+SUMIF('Week4'!$A:$A,$A88,'Week4'!$E:$E)</f>
        <v/>
      </c>
      <c r="F88" s="7">
        <f>SUMIF('Week1'!$A:$A,$A88,'Week1'!$F:$F)+SUMIF('Week2'!$A:$A,$A88,'Week2'!$F:$F)+SUMIF('Week3'!$A:$A,$A88,'Week3'!$F:$F)+SUMIF('Week4'!$A:$A,$A88,'Week4'!$F:$F)</f>
        <v/>
      </c>
      <c r="G88" s="7">
        <f>SUMIF('Week1'!$A:$A,$A88,'Week1'!$G:$G)+SUMIF('Week2'!$A:$A,$A88,'Week2'!$G:$G)+SUMIF('Week3'!$A:$A,$A88,'Week3'!$G:$G)+SUMIF('Week4'!$A:$A,$A88,'Week4'!$G:$G)</f>
        <v/>
      </c>
      <c r="H88" s="7">
        <f>SUMIF('Week1'!$A:$A,$A88,'Week1'!$H:$H)+SUMIF('Week2'!$A:$A,$A88,'Week2'!$H:$H)+SUMIF('Week3'!$A:$A,$A88,'Week3'!$H:$H)+SUMIF('Week4'!$A:$A,$A88,'Week4'!$H:$H)</f>
        <v/>
      </c>
      <c r="I88" s="7">
        <f>SUMIF('Week1'!$A:$A,$A88,'Week1'!$I:$I)+SUMIF('Week2'!$A:$A,$A88,'Week2'!$I:$I)+SUMIF('Week3'!$A:$A,$A88,'Week3'!$I:$I)+SUMIF('Week4'!$A:$A,$A88,'Week4'!$I:$I)</f>
        <v/>
      </c>
      <c r="J88" s="7">
        <f>SUMIF('Week1'!$A:$A,$A88,'Week1'!$J:$J)+SUMIF('Week2'!$A:$A,$A88,'Week2'!$J:$J)+SUMIF('Week3'!$A:$A,$A88,'Week3'!$J:$J)+SUMIF('Week4'!$A:$A,$A88,'Week4'!$J:$J)</f>
        <v/>
      </c>
      <c r="K88" s="7">
        <f>SUMIF('Week1'!$A:$A,$A88,'Week1'!$K:$K)+SUMIF('Week2'!$A:$A,$A88,'Week2'!$K:$K)+SUMIF('Week3'!$A:$A,$A88,'Week3'!$K:$K)+SUMIF('Week4'!$A:$A,$A88,'Week4'!$K:$K)</f>
        <v/>
      </c>
    </row>
    <row r="89">
      <c r="A89" s="6" t="inlineStr">
        <is>
          <t>PRADEEP RAMESH EOLL</t>
        </is>
      </c>
      <c r="B89" s="6" t="inlineStr">
        <is>
          <t>A-EL PROD FRYING</t>
        </is>
      </c>
      <c r="C89" s="7" t="n">
        <v>1265</v>
      </c>
      <c r="D89" s="7">
        <f>SUMIF('Week1'!$A:$A,$A89,'Week1'!$D:$D)+SUMIF('Week2'!$A:$A,$A89,'Week2'!$D:$D)+SUMIF('Week3'!$A:$A,$A89,'Week3'!$D:$D)+SUMIF('Week4'!$A:$A,$A89,'Week4'!$D:$D)</f>
        <v/>
      </c>
      <c r="E89" s="7">
        <f>SUMIF('Week1'!$A:$A,$A89,'Week1'!$E:$E)+SUMIF('Week2'!$A:$A,$A89,'Week2'!$E:$E)+SUMIF('Week3'!$A:$A,$A89,'Week3'!$E:$E)+SUMIF('Week4'!$A:$A,$A89,'Week4'!$E:$E)</f>
        <v/>
      </c>
      <c r="F89" s="7">
        <f>SUMIF('Week1'!$A:$A,$A89,'Week1'!$F:$F)+SUMIF('Week2'!$A:$A,$A89,'Week2'!$F:$F)+SUMIF('Week3'!$A:$A,$A89,'Week3'!$F:$F)+SUMIF('Week4'!$A:$A,$A89,'Week4'!$F:$F)</f>
        <v/>
      </c>
      <c r="G89" s="7">
        <f>SUMIF('Week1'!$A:$A,$A89,'Week1'!$G:$G)+SUMIF('Week2'!$A:$A,$A89,'Week2'!$G:$G)+SUMIF('Week3'!$A:$A,$A89,'Week3'!$G:$G)+SUMIF('Week4'!$A:$A,$A89,'Week4'!$G:$G)</f>
        <v/>
      </c>
      <c r="H89" s="7">
        <f>SUMIF('Week1'!$A:$A,$A89,'Week1'!$H:$H)+SUMIF('Week2'!$A:$A,$A89,'Week2'!$H:$H)+SUMIF('Week3'!$A:$A,$A89,'Week3'!$H:$H)+SUMIF('Week4'!$A:$A,$A89,'Week4'!$H:$H)</f>
        <v/>
      </c>
      <c r="I89" s="7">
        <f>SUMIF('Week1'!$A:$A,$A89,'Week1'!$I:$I)+SUMIF('Week2'!$A:$A,$A89,'Week2'!$I:$I)+SUMIF('Week3'!$A:$A,$A89,'Week3'!$I:$I)+SUMIF('Week4'!$A:$A,$A89,'Week4'!$I:$I)</f>
        <v/>
      </c>
      <c r="J89" s="7">
        <f>SUMIF('Week1'!$A:$A,$A89,'Week1'!$J:$J)+SUMIF('Week2'!$A:$A,$A89,'Week2'!$J:$J)+SUMIF('Week3'!$A:$A,$A89,'Week3'!$J:$J)+SUMIF('Week4'!$A:$A,$A89,'Week4'!$J:$J)</f>
        <v/>
      </c>
      <c r="K89" s="7">
        <f>SUMIF('Week1'!$A:$A,$A89,'Week1'!$K:$K)+SUMIF('Week2'!$A:$A,$A89,'Week2'!$K:$K)+SUMIF('Week3'!$A:$A,$A89,'Week3'!$K:$K)+SUMIF('Week4'!$A:$A,$A89,'Week4'!$K:$K)</f>
        <v/>
      </c>
    </row>
    <row r="90">
      <c r="A90" s="6" t="inlineStr">
        <is>
          <t>GAURAV UKARDA BAMANIA EOLL</t>
        </is>
      </c>
      <c r="B90" s="6" t="inlineStr">
        <is>
          <t>A-EL PROD FRYING</t>
        </is>
      </c>
      <c r="C90" s="7" t="n">
        <v>1548</v>
      </c>
      <c r="D90" s="7">
        <f>SUMIF('Week1'!$A:$A,$A90,'Week1'!$D:$D)+SUMIF('Week2'!$A:$A,$A90,'Week2'!$D:$D)+SUMIF('Week3'!$A:$A,$A90,'Week3'!$D:$D)+SUMIF('Week4'!$A:$A,$A90,'Week4'!$D:$D)</f>
        <v/>
      </c>
      <c r="E90" s="7">
        <f>SUMIF('Week1'!$A:$A,$A90,'Week1'!$E:$E)+SUMIF('Week2'!$A:$A,$A90,'Week2'!$E:$E)+SUMIF('Week3'!$A:$A,$A90,'Week3'!$E:$E)+SUMIF('Week4'!$A:$A,$A90,'Week4'!$E:$E)</f>
        <v/>
      </c>
      <c r="F90" s="7">
        <f>SUMIF('Week1'!$A:$A,$A90,'Week1'!$F:$F)+SUMIF('Week2'!$A:$A,$A90,'Week2'!$F:$F)+SUMIF('Week3'!$A:$A,$A90,'Week3'!$F:$F)+SUMIF('Week4'!$A:$A,$A90,'Week4'!$F:$F)</f>
        <v/>
      </c>
      <c r="G90" s="7">
        <f>SUMIF('Week1'!$A:$A,$A90,'Week1'!$G:$G)+SUMIF('Week2'!$A:$A,$A90,'Week2'!$G:$G)+SUMIF('Week3'!$A:$A,$A90,'Week3'!$G:$G)+SUMIF('Week4'!$A:$A,$A90,'Week4'!$G:$G)</f>
        <v/>
      </c>
      <c r="H90" s="7">
        <f>SUMIF('Week1'!$A:$A,$A90,'Week1'!$H:$H)+SUMIF('Week2'!$A:$A,$A90,'Week2'!$H:$H)+SUMIF('Week3'!$A:$A,$A90,'Week3'!$H:$H)+SUMIF('Week4'!$A:$A,$A90,'Week4'!$H:$H)</f>
        <v/>
      </c>
      <c r="I90" s="7">
        <f>SUMIF('Week1'!$A:$A,$A90,'Week1'!$I:$I)+SUMIF('Week2'!$A:$A,$A90,'Week2'!$I:$I)+SUMIF('Week3'!$A:$A,$A90,'Week3'!$I:$I)+SUMIF('Week4'!$A:$A,$A90,'Week4'!$I:$I)</f>
        <v/>
      </c>
      <c r="J90" s="7">
        <f>SUMIF('Week1'!$A:$A,$A90,'Week1'!$J:$J)+SUMIF('Week2'!$A:$A,$A90,'Week2'!$J:$J)+SUMIF('Week3'!$A:$A,$A90,'Week3'!$J:$J)+SUMIF('Week4'!$A:$A,$A90,'Week4'!$J:$J)</f>
        <v/>
      </c>
      <c r="K90" s="7">
        <f>SUMIF('Week1'!$A:$A,$A90,'Week1'!$K:$K)+SUMIF('Week2'!$A:$A,$A90,'Week2'!$K:$K)+SUMIF('Week3'!$A:$A,$A90,'Week3'!$K:$K)+SUMIF('Week4'!$A:$A,$A90,'Week4'!$K:$K)</f>
        <v/>
      </c>
    </row>
    <row r="91">
      <c r="A91" s="6" t="inlineStr">
        <is>
          <t>CONCEISAO ALMEIDA EOLL</t>
        </is>
      </c>
      <c r="B91" s="6" t="inlineStr">
        <is>
          <t>A-EL PROD PREPARATION</t>
        </is>
      </c>
      <c r="C91" s="7" t="n">
        <v>1643</v>
      </c>
      <c r="D91" s="7">
        <f>SUMIF('Week1'!$A:$A,$A91,'Week1'!$D:$D)+SUMIF('Week2'!$A:$A,$A91,'Week2'!$D:$D)+SUMIF('Week3'!$A:$A,$A91,'Week3'!$D:$D)+SUMIF('Week4'!$A:$A,$A91,'Week4'!$D:$D)</f>
        <v/>
      </c>
      <c r="E91" s="7">
        <f>SUMIF('Week1'!$A:$A,$A91,'Week1'!$E:$E)+SUMIF('Week2'!$A:$A,$A91,'Week2'!$E:$E)+SUMIF('Week3'!$A:$A,$A91,'Week3'!$E:$E)+SUMIF('Week4'!$A:$A,$A91,'Week4'!$E:$E)</f>
        <v/>
      </c>
      <c r="F91" s="7">
        <f>SUMIF('Week1'!$A:$A,$A91,'Week1'!$F:$F)+SUMIF('Week2'!$A:$A,$A91,'Week2'!$F:$F)+SUMIF('Week3'!$A:$A,$A91,'Week3'!$F:$F)+SUMIF('Week4'!$A:$A,$A91,'Week4'!$F:$F)</f>
        <v/>
      </c>
      <c r="G91" s="7">
        <f>SUMIF('Week1'!$A:$A,$A91,'Week1'!$G:$G)+SUMIF('Week2'!$A:$A,$A91,'Week2'!$G:$G)+SUMIF('Week3'!$A:$A,$A91,'Week3'!$G:$G)+SUMIF('Week4'!$A:$A,$A91,'Week4'!$G:$G)</f>
        <v/>
      </c>
      <c r="H91" s="7">
        <f>SUMIF('Week1'!$A:$A,$A91,'Week1'!$H:$H)+SUMIF('Week2'!$A:$A,$A91,'Week2'!$H:$H)+SUMIF('Week3'!$A:$A,$A91,'Week3'!$H:$H)+SUMIF('Week4'!$A:$A,$A91,'Week4'!$H:$H)</f>
        <v/>
      </c>
      <c r="I91" s="7">
        <f>SUMIF('Week1'!$A:$A,$A91,'Week1'!$I:$I)+SUMIF('Week2'!$A:$A,$A91,'Week2'!$I:$I)+SUMIF('Week3'!$A:$A,$A91,'Week3'!$I:$I)+SUMIF('Week4'!$A:$A,$A91,'Week4'!$I:$I)</f>
        <v/>
      </c>
      <c r="J91" s="7">
        <f>SUMIF('Week1'!$A:$A,$A91,'Week1'!$J:$J)+SUMIF('Week2'!$A:$A,$A91,'Week2'!$J:$J)+SUMIF('Week3'!$A:$A,$A91,'Week3'!$J:$J)+SUMIF('Week4'!$A:$A,$A91,'Week4'!$J:$J)</f>
        <v/>
      </c>
      <c r="K91" s="7">
        <f>SUMIF('Week1'!$A:$A,$A91,'Week1'!$K:$K)+SUMIF('Week2'!$A:$A,$A91,'Week2'!$K:$K)+SUMIF('Week3'!$A:$A,$A91,'Week3'!$K:$K)+SUMIF('Week4'!$A:$A,$A91,'Week4'!$K:$K)</f>
        <v/>
      </c>
    </row>
    <row r="92">
      <c r="A92" s="6" t="inlineStr">
        <is>
          <t>KALPESHKUMAR BABU EOLL</t>
        </is>
      </c>
      <c r="B92" s="6" t="inlineStr">
        <is>
          <t>A-EL PROD PREPARATION</t>
        </is>
      </c>
      <c r="C92" s="7" t="n">
        <v>1622</v>
      </c>
      <c r="D92" s="7">
        <f>SUMIF('Week1'!$A:$A,$A92,'Week1'!$D:$D)+SUMIF('Week2'!$A:$A,$A92,'Week2'!$D:$D)+SUMIF('Week3'!$A:$A,$A92,'Week3'!$D:$D)+SUMIF('Week4'!$A:$A,$A92,'Week4'!$D:$D)</f>
        <v/>
      </c>
      <c r="E92" s="7">
        <f>SUMIF('Week1'!$A:$A,$A92,'Week1'!$E:$E)+SUMIF('Week2'!$A:$A,$A92,'Week2'!$E:$E)+SUMIF('Week3'!$A:$A,$A92,'Week3'!$E:$E)+SUMIF('Week4'!$A:$A,$A92,'Week4'!$E:$E)</f>
        <v/>
      </c>
      <c r="F92" s="7">
        <f>SUMIF('Week1'!$A:$A,$A92,'Week1'!$F:$F)+SUMIF('Week2'!$A:$A,$A92,'Week2'!$F:$F)+SUMIF('Week3'!$A:$A,$A92,'Week3'!$F:$F)+SUMIF('Week4'!$A:$A,$A92,'Week4'!$F:$F)</f>
        <v/>
      </c>
      <c r="G92" s="7">
        <f>SUMIF('Week1'!$A:$A,$A92,'Week1'!$G:$G)+SUMIF('Week2'!$A:$A,$A92,'Week2'!$G:$G)+SUMIF('Week3'!$A:$A,$A92,'Week3'!$G:$G)+SUMIF('Week4'!$A:$A,$A92,'Week4'!$G:$G)</f>
        <v/>
      </c>
      <c r="H92" s="7">
        <f>SUMIF('Week1'!$A:$A,$A92,'Week1'!$H:$H)+SUMIF('Week2'!$A:$A,$A92,'Week2'!$H:$H)+SUMIF('Week3'!$A:$A,$A92,'Week3'!$H:$H)+SUMIF('Week4'!$A:$A,$A92,'Week4'!$H:$H)</f>
        <v/>
      </c>
      <c r="I92" s="7">
        <f>SUMIF('Week1'!$A:$A,$A92,'Week1'!$I:$I)+SUMIF('Week2'!$A:$A,$A92,'Week2'!$I:$I)+SUMIF('Week3'!$A:$A,$A92,'Week3'!$I:$I)+SUMIF('Week4'!$A:$A,$A92,'Week4'!$I:$I)</f>
        <v/>
      </c>
      <c r="J92" s="7">
        <f>SUMIF('Week1'!$A:$A,$A92,'Week1'!$J:$J)+SUMIF('Week2'!$A:$A,$A92,'Week2'!$J:$J)+SUMIF('Week3'!$A:$A,$A92,'Week3'!$J:$J)+SUMIF('Week4'!$A:$A,$A92,'Week4'!$J:$J)</f>
        <v/>
      </c>
      <c r="K92" s="7">
        <f>SUMIF('Week1'!$A:$A,$A92,'Week1'!$K:$K)+SUMIF('Week2'!$A:$A,$A92,'Week2'!$K:$K)+SUMIF('Week3'!$A:$A,$A92,'Week3'!$K:$K)+SUMIF('Week4'!$A:$A,$A92,'Week4'!$K:$K)</f>
        <v/>
      </c>
    </row>
    <row r="93">
      <c r="A93" s="6" t="inlineStr">
        <is>
          <t>VANITA CARSANE EOLL</t>
        </is>
      </c>
      <c r="B93" s="6" t="inlineStr">
        <is>
          <t>A-EL PROD PREPARATION</t>
        </is>
      </c>
      <c r="C93" s="7" t="n">
        <v>1607</v>
      </c>
      <c r="D93" s="7">
        <f>SUMIF('Week1'!$A:$A,$A93,'Week1'!$D:$D)+SUMIF('Week2'!$A:$A,$A93,'Week2'!$D:$D)+SUMIF('Week3'!$A:$A,$A93,'Week3'!$D:$D)+SUMIF('Week4'!$A:$A,$A93,'Week4'!$D:$D)</f>
        <v/>
      </c>
      <c r="E93" s="7">
        <f>SUMIF('Week1'!$A:$A,$A93,'Week1'!$E:$E)+SUMIF('Week2'!$A:$A,$A93,'Week2'!$E:$E)+SUMIF('Week3'!$A:$A,$A93,'Week3'!$E:$E)+SUMIF('Week4'!$A:$A,$A93,'Week4'!$E:$E)</f>
        <v/>
      </c>
      <c r="F93" s="7">
        <f>SUMIF('Week1'!$A:$A,$A93,'Week1'!$F:$F)+SUMIF('Week2'!$A:$A,$A93,'Week2'!$F:$F)+SUMIF('Week3'!$A:$A,$A93,'Week3'!$F:$F)+SUMIF('Week4'!$A:$A,$A93,'Week4'!$F:$F)</f>
        <v/>
      </c>
      <c r="G93" s="7">
        <f>SUMIF('Week1'!$A:$A,$A93,'Week1'!$G:$G)+SUMIF('Week2'!$A:$A,$A93,'Week2'!$G:$G)+SUMIF('Week3'!$A:$A,$A93,'Week3'!$G:$G)+SUMIF('Week4'!$A:$A,$A93,'Week4'!$G:$G)</f>
        <v/>
      </c>
      <c r="H93" s="7">
        <f>SUMIF('Week1'!$A:$A,$A93,'Week1'!$H:$H)+SUMIF('Week2'!$A:$A,$A93,'Week2'!$H:$H)+SUMIF('Week3'!$A:$A,$A93,'Week3'!$H:$H)+SUMIF('Week4'!$A:$A,$A93,'Week4'!$H:$H)</f>
        <v/>
      </c>
      <c r="I93" s="7">
        <f>SUMIF('Week1'!$A:$A,$A93,'Week1'!$I:$I)+SUMIF('Week2'!$A:$A,$A93,'Week2'!$I:$I)+SUMIF('Week3'!$A:$A,$A93,'Week3'!$I:$I)+SUMIF('Week4'!$A:$A,$A93,'Week4'!$I:$I)</f>
        <v/>
      </c>
      <c r="J93" s="7">
        <f>SUMIF('Week1'!$A:$A,$A93,'Week1'!$J:$J)+SUMIF('Week2'!$A:$A,$A93,'Week2'!$J:$J)+SUMIF('Week3'!$A:$A,$A93,'Week3'!$J:$J)+SUMIF('Week4'!$A:$A,$A93,'Week4'!$J:$J)</f>
        <v/>
      </c>
      <c r="K93" s="7">
        <f>SUMIF('Week1'!$A:$A,$A93,'Week1'!$K:$K)+SUMIF('Week2'!$A:$A,$A93,'Week2'!$K:$K)+SUMIF('Week3'!$A:$A,$A93,'Week3'!$K:$K)+SUMIF('Week4'!$A:$A,$A93,'Week4'!$K:$K)</f>
        <v/>
      </c>
    </row>
    <row r="94">
      <c r="A94" s="6" t="inlineStr">
        <is>
          <t>FAUSTINO DA CUNHA EOLL</t>
        </is>
      </c>
      <c r="B94" s="6" t="inlineStr">
        <is>
          <t>A-EL PROD PREPARATION</t>
        </is>
      </c>
      <c r="C94" s="7" t="n">
        <v>1616</v>
      </c>
      <c r="D94" s="7">
        <f>SUMIF('Week1'!$A:$A,$A94,'Week1'!$D:$D)+SUMIF('Week2'!$A:$A,$A94,'Week2'!$D:$D)+SUMIF('Week3'!$A:$A,$A94,'Week3'!$D:$D)+SUMIF('Week4'!$A:$A,$A94,'Week4'!$D:$D)</f>
        <v/>
      </c>
      <c r="E94" s="7">
        <f>SUMIF('Week1'!$A:$A,$A94,'Week1'!$E:$E)+SUMIF('Week2'!$A:$A,$A94,'Week2'!$E:$E)+SUMIF('Week3'!$A:$A,$A94,'Week3'!$E:$E)+SUMIF('Week4'!$A:$A,$A94,'Week4'!$E:$E)</f>
        <v/>
      </c>
      <c r="F94" s="7">
        <f>SUMIF('Week1'!$A:$A,$A94,'Week1'!$F:$F)+SUMIF('Week2'!$A:$A,$A94,'Week2'!$F:$F)+SUMIF('Week3'!$A:$A,$A94,'Week3'!$F:$F)+SUMIF('Week4'!$A:$A,$A94,'Week4'!$F:$F)</f>
        <v/>
      </c>
      <c r="G94" s="7">
        <f>SUMIF('Week1'!$A:$A,$A94,'Week1'!$G:$G)+SUMIF('Week2'!$A:$A,$A94,'Week2'!$G:$G)+SUMIF('Week3'!$A:$A,$A94,'Week3'!$G:$G)+SUMIF('Week4'!$A:$A,$A94,'Week4'!$G:$G)</f>
        <v/>
      </c>
      <c r="H94" s="7">
        <f>SUMIF('Week1'!$A:$A,$A94,'Week1'!$H:$H)+SUMIF('Week2'!$A:$A,$A94,'Week2'!$H:$H)+SUMIF('Week3'!$A:$A,$A94,'Week3'!$H:$H)+SUMIF('Week4'!$A:$A,$A94,'Week4'!$H:$H)</f>
        <v/>
      </c>
      <c r="I94" s="7">
        <f>SUMIF('Week1'!$A:$A,$A94,'Week1'!$I:$I)+SUMIF('Week2'!$A:$A,$A94,'Week2'!$I:$I)+SUMIF('Week3'!$A:$A,$A94,'Week3'!$I:$I)+SUMIF('Week4'!$A:$A,$A94,'Week4'!$I:$I)</f>
        <v/>
      </c>
      <c r="J94" s="7">
        <f>SUMIF('Week1'!$A:$A,$A94,'Week1'!$J:$J)+SUMIF('Week2'!$A:$A,$A94,'Week2'!$J:$J)+SUMIF('Week3'!$A:$A,$A94,'Week3'!$J:$J)+SUMIF('Week4'!$A:$A,$A94,'Week4'!$J:$J)</f>
        <v/>
      </c>
      <c r="K94" s="7">
        <f>SUMIF('Week1'!$A:$A,$A94,'Week1'!$K:$K)+SUMIF('Week2'!$A:$A,$A94,'Week2'!$K:$K)+SUMIF('Week3'!$A:$A,$A94,'Week3'!$K:$K)+SUMIF('Week4'!$A:$A,$A94,'Week4'!$K:$K)</f>
        <v/>
      </c>
    </row>
    <row r="95">
      <c r="A95" s="6" t="inlineStr">
        <is>
          <t>SHAKSHI DATTA EOLL</t>
        </is>
      </c>
      <c r="B95" s="6" t="inlineStr">
        <is>
          <t>A-EL PROD PREPARATION</t>
        </is>
      </c>
      <c r="C95" s="7" t="n">
        <v>1655</v>
      </c>
      <c r="D95" s="7">
        <f>SUMIF('Week1'!$A:$A,$A95,'Week1'!$D:$D)+SUMIF('Week2'!$A:$A,$A95,'Week2'!$D:$D)+SUMIF('Week3'!$A:$A,$A95,'Week3'!$D:$D)+SUMIF('Week4'!$A:$A,$A95,'Week4'!$D:$D)</f>
        <v/>
      </c>
      <c r="E95" s="7">
        <f>SUMIF('Week1'!$A:$A,$A95,'Week1'!$E:$E)+SUMIF('Week2'!$A:$A,$A95,'Week2'!$E:$E)+SUMIF('Week3'!$A:$A,$A95,'Week3'!$E:$E)+SUMIF('Week4'!$A:$A,$A95,'Week4'!$E:$E)</f>
        <v/>
      </c>
      <c r="F95" s="7">
        <f>SUMIF('Week1'!$A:$A,$A95,'Week1'!$F:$F)+SUMIF('Week2'!$A:$A,$A95,'Week2'!$F:$F)+SUMIF('Week3'!$A:$A,$A95,'Week3'!$F:$F)+SUMIF('Week4'!$A:$A,$A95,'Week4'!$F:$F)</f>
        <v/>
      </c>
      <c r="G95" s="7">
        <f>SUMIF('Week1'!$A:$A,$A95,'Week1'!$G:$G)+SUMIF('Week2'!$A:$A,$A95,'Week2'!$G:$G)+SUMIF('Week3'!$A:$A,$A95,'Week3'!$G:$G)+SUMIF('Week4'!$A:$A,$A95,'Week4'!$G:$G)</f>
        <v/>
      </c>
      <c r="H95" s="7">
        <f>SUMIF('Week1'!$A:$A,$A95,'Week1'!$H:$H)+SUMIF('Week2'!$A:$A,$A95,'Week2'!$H:$H)+SUMIF('Week3'!$A:$A,$A95,'Week3'!$H:$H)+SUMIF('Week4'!$A:$A,$A95,'Week4'!$H:$H)</f>
        <v/>
      </c>
      <c r="I95" s="7">
        <f>SUMIF('Week1'!$A:$A,$A95,'Week1'!$I:$I)+SUMIF('Week2'!$A:$A,$A95,'Week2'!$I:$I)+SUMIF('Week3'!$A:$A,$A95,'Week3'!$I:$I)+SUMIF('Week4'!$A:$A,$A95,'Week4'!$I:$I)</f>
        <v/>
      </c>
      <c r="J95" s="7">
        <f>SUMIF('Week1'!$A:$A,$A95,'Week1'!$J:$J)+SUMIF('Week2'!$A:$A,$A95,'Week2'!$J:$J)+SUMIF('Week3'!$A:$A,$A95,'Week3'!$J:$J)+SUMIF('Week4'!$A:$A,$A95,'Week4'!$J:$J)</f>
        <v/>
      </c>
      <c r="K95" s="7">
        <f>SUMIF('Week1'!$A:$A,$A95,'Week1'!$K:$K)+SUMIF('Week2'!$A:$A,$A95,'Week2'!$K:$K)+SUMIF('Week3'!$A:$A,$A95,'Week3'!$K:$K)+SUMIF('Week4'!$A:$A,$A95,'Week4'!$K:$K)</f>
        <v/>
      </c>
    </row>
    <row r="96">
      <c r="A96" s="6" t="inlineStr">
        <is>
          <t>ABHINANDAN GIRI EOLL</t>
        </is>
      </c>
      <c r="B96" s="6" t="inlineStr">
        <is>
          <t>A-EL PROD PREPARATION</t>
        </is>
      </c>
      <c r="C96" s="7" t="n">
        <v>1621</v>
      </c>
      <c r="D96" s="7">
        <f>SUMIF('Week1'!$A:$A,$A96,'Week1'!$D:$D)+SUMIF('Week2'!$A:$A,$A96,'Week2'!$D:$D)+SUMIF('Week3'!$A:$A,$A96,'Week3'!$D:$D)+SUMIF('Week4'!$A:$A,$A96,'Week4'!$D:$D)</f>
        <v/>
      </c>
      <c r="E96" s="7">
        <f>SUMIF('Week1'!$A:$A,$A96,'Week1'!$E:$E)+SUMIF('Week2'!$A:$A,$A96,'Week2'!$E:$E)+SUMIF('Week3'!$A:$A,$A96,'Week3'!$E:$E)+SUMIF('Week4'!$A:$A,$A96,'Week4'!$E:$E)</f>
        <v/>
      </c>
      <c r="F96" s="7">
        <f>SUMIF('Week1'!$A:$A,$A96,'Week1'!$F:$F)+SUMIF('Week2'!$A:$A,$A96,'Week2'!$F:$F)+SUMIF('Week3'!$A:$A,$A96,'Week3'!$F:$F)+SUMIF('Week4'!$A:$A,$A96,'Week4'!$F:$F)</f>
        <v/>
      </c>
      <c r="G96" s="7">
        <f>SUMIF('Week1'!$A:$A,$A96,'Week1'!$G:$G)+SUMIF('Week2'!$A:$A,$A96,'Week2'!$G:$G)+SUMIF('Week3'!$A:$A,$A96,'Week3'!$G:$G)+SUMIF('Week4'!$A:$A,$A96,'Week4'!$G:$G)</f>
        <v/>
      </c>
      <c r="H96" s="7">
        <f>SUMIF('Week1'!$A:$A,$A96,'Week1'!$H:$H)+SUMIF('Week2'!$A:$A,$A96,'Week2'!$H:$H)+SUMIF('Week3'!$A:$A,$A96,'Week3'!$H:$H)+SUMIF('Week4'!$A:$A,$A96,'Week4'!$H:$H)</f>
        <v/>
      </c>
      <c r="I96" s="7">
        <f>SUMIF('Week1'!$A:$A,$A96,'Week1'!$I:$I)+SUMIF('Week2'!$A:$A,$A96,'Week2'!$I:$I)+SUMIF('Week3'!$A:$A,$A96,'Week3'!$I:$I)+SUMIF('Week4'!$A:$A,$A96,'Week4'!$I:$I)</f>
        <v/>
      </c>
      <c r="J96" s="7">
        <f>SUMIF('Week1'!$A:$A,$A96,'Week1'!$J:$J)+SUMIF('Week2'!$A:$A,$A96,'Week2'!$J:$J)+SUMIF('Week3'!$A:$A,$A96,'Week3'!$J:$J)+SUMIF('Week4'!$A:$A,$A96,'Week4'!$J:$J)</f>
        <v/>
      </c>
      <c r="K96" s="7">
        <f>SUMIF('Week1'!$A:$A,$A96,'Week1'!$K:$K)+SUMIF('Week2'!$A:$A,$A96,'Week2'!$K:$K)+SUMIF('Week3'!$A:$A,$A96,'Week3'!$K:$K)+SUMIF('Week4'!$A:$A,$A96,'Week4'!$K:$K)</f>
        <v/>
      </c>
    </row>
    <row r="97">
      <c r="A97" s="6" t="inlineStr">
        <is>
          <t>DAMIAO LOBO EOLL</t>
        </is>
      </c>
      <c r="B97" s="6" t="inlineStr">
        <is>
          <t>A-EL PROD PREPARATION</t>
        </is>
      </c>
      <c r="C97" s="7" t="n">
        <v>1553</v>
      </c>
      <c r="D97" s="7">
        <f>SUMIF('Week1'!$A:$A,$A97,'Week1'!$D:$D)+SUMIF('Week2'!$A:$A,$A97,'Week2'!$D:$D)+SUMIF('Week3'!$A:$A,$A97,'Week3'!$D:$D)+SUMIF('Week4'!$A:$A,$A97,'Week4'!$D:$D)</f>
        <v/>
      </c>
      <c r="E97" s="7">
        <f>SUMIF('Week1'!$A:$A,$A97,'Week1'!$E:$E)+SUMIF('Week2'!$A:$A,$A97,'Week2'!$E:$E)+SUMIF('Week3'!$A:$A,$A97,'Week3'!$E:$E)+SUMIF('Week4'!$A:$A,$A97,'Week4'!$E:$E)</f>
        <v/>
      </c>
      <c r="F97" s="7">
        <f>SUMIF('Week1'!$A:$A,$A97,'Week1'!$F:$F)+SUMIF('Week2'!$A:$A,$A97,'Week2'!$F:$F)+SUMIF('Week3'!$A:$A,$A97,'Week3'!$F:$F)+SUMIF('Week4'!$A:$A,$A97,'Week4'!$F:$F)</f>
        <v/>
      </c>
      <c r="G97" s="7">
        <f>SUMIF('Week1'!$A:$A,$A97,'Week1'!$G:$G)+SUMIF('Week2'!$A:$A,$A97,'Week2'!$G:$G)+SUMIF('Week3'!$A:$A,$A97,'Week3'!$G:$G)+SUMIF('Week4'!$A:$A,$A97,'Week4'!$G:$G)</f>
        <v/>
      </c>
      <c r="H97" s="7">
        <f>SUMIF('Week1'!$A:$A,$A97,'Week1'!$H:$H)+SUMIF('Week2'!$A:$A,$A97,'Week2'!$H:$H)+SUMIF('Week3'!$A:$A,$A97,'Week3'!$H:$H)+SUMIF('Week4'!$A:$A,$A97,'Week4'!$H:$H)</f>
        <v/>
      </c>
      <c r="I97" s="7">
        <f>SUMIF('Week1'!$A:$A,$A97,'Week1'!$I:$I)+SUMIF('Week2'!$A:$A,$A97,'Week2'!$I:$I)+SUMIF('Week3'!$A:$A,$A97,'Week3'!$I:$I)+SUMIF('Week4'!$A:$A,$A97,'Week4'!$I:$I)</f>
        <v/>
      </c>
      <c r="J97" s="7">
        <f>SUMIF('Week1'!$A:$A,$A97,'Week1'!$J:$J)+SUMIF('Week2'!$A:$A,$A97,'Week2'!$J:$J)+SUMIF('Week3'!$A:$A,$A97,'Week3'!$J:$J)+SUMIF('Week4'!$A:$A,$A97,'Week4'!$J:$J)</f>
        <v/>
      </c>
      <c r="K97" s="7">
        <f>SUMIF('Week1'!$A:$A,$A97,'Week1'!$K:$K)+SUMIF('Week2'!$A:$A,$A97,'Week2'!$K:$K)+SUMIF('Week3'!$A:$A,$A97,'Week3'!$K:$K)+SUMIF('Week4'!$A:$A,$A97,'Week4'!$K:$K)</f>
        <v/>
      </c>
    </row>
    <row r="98">
      <c r="A98" s="6" t="inlineStr">
        <is>
          <t>DARPAN PREMJI EOLL</t>
        </is>
      </c>
      <c r="B98" s="6" t="inlineStr">
        <is>
          <t>A-EL PROD PREPARATION</t>
        </is>
      </c>
      <c r="C98" s="7" t="n">
        <v>1631</v>
      </c>
      <c r="D98" s="7">
        <f>SUMIF('Week1'!$A:$A,$A98,'Week1'!$D:$D)+SUMIF('Week2'!$A:$A,$A98,'Week2'!$D:$D)+SUMIF('Week3'!$A:$A,$A98,'Week3'!$D:$D)+SUMIF('Week4'!$A:$A,$A98,'Week4'!$D:$D)</f>
        <v/>
      </c>
      <c r="E98" s="7">
        <f>SUMIF('Week1'!$A:$A,$A98,'Week1'!$E:$E)+SUMIF('Week2'!$A:$A,$A98,'Week2'!$E:$E)+SUMIF('Week3'!$A:$A,$A98,'Week3'!$E:$E)+SUMIF('Week4'!$A:$A,$A98,'Week4'!$E:$E)</f>
        <v/>
      </c>
      <c r="F98" s="7">
        <f>SUMIF('Week1'!$A:$A,$A98,'Week1'!$F:$F)+SUMIF('Week2'!$A:$A,$A98,'Week2'!$F:$F)+SUMIF('Week3'!$A:$A,$A98,'Week3'!$F:$F)+SUMIF('Week4'!$A:$A,$A98,'Week4'!$F:$F)</f>
        <v/>
      </c>
      <c r="G98" s="7">
        <f>SUMIF('Week1'!$A:$A,$A98,'Week1'!$G:$G)+SUMIF('Week2'!$A:$A,$A98,'Week2'!$G:$G)+SUMIF('Week3'!$A:$A,$A98,'Week3'!$G:$G)+SUMIF('Week4'!$A:$A,$A98,'Week4'!$G:$G)</f>
        <v/>
      </c>
      <c r="H98" s="7">
        <f>SUMIF('Week1'!$A:$A,$A98,'Week1'!$H:$H)+SUMIF('Week2'!$A:$A,$A98,'Week2'!$H:$H)+SUMIF('Week3'!$A:$A,$A98,'Week3'!$H:$H)+SUMIF('Week4'!$A:$A,$A98,'Week4'!$H:$H)</f>
        <v/>
      </c>
      <c r="I98" s="7">
        <f>SUMIF('Week1'!$A:$A,$A98,'Week1'!$I:$I)+SUMIF('Week2'!$A:$A,$A98,'Week2'!$I:$I)+SUMIF('Week3'!$A:$A,$A98,'Week3'!$I:$I)+SUMIF('Week4'!$A:$A,$A98,'Week4'!$I:$I)</f>
        <v/>
      </c>
      <c r="J98" s="7">
        <f>SUMIF('Week1'!$A:$A,$A98,'Week1'!$J:$J)+SUMIF('Week2'!$A:$A,$A98,'Week2'!$J:$J)+SUMIF('Week3'!$A:$A,$A98,'Week3'!$J:$J)+SUMIF('Week4'!$A:$A,$A98,'Week4'!$J:$J)</f>
        <v/>
      </c>
      <c r="K98" s="7">
        <f>SUMIF('Week1'!$A:$A,$A98,'Week1'!$K:$K)+SUMIF('Week2'!$A:$A,$A98,'Week2'!$K:$K)+SUMIF('Week3'!$A:$A,$A98,'Week3'!$K:$K)+SUMIF('Week4'!$A:$A,$A98,'Week4'!$K:$K)</f>
        <v/>
      </c>
    </row>
    <row r="99">
      <c r="A99" s="6" t="inlineStr">
        <is>
          <t>CINETE JOSELINE BORGES EOLL</t>
        </is>
      </c>
      <c r="B99" s="6" t="inlineStr">
        <is>
          <t>A-EL TECHNICAL</t>
        </is>
      </c>
      <c r="C99" s="7" t="n">
        <v>1666</v>
      </c>
      <c r="D99" s="7">
        <f>SUMIF('Week1'!$A:$A,$A99,'Week1'!$D:$D)+SUMIF('Week2'!$A:$A,$A99,'Week2'!$D:$D)+SUMIF('Week3'!$A:$A,$A99,'Week3'!$D:$D)+SUMIF('Week4'!$A:$A,$A99,'Week4'!$D:$D)</f>
        <v/>
      </c>
      <c r="E99" s="7">
        <f>SUMIF('Week1'!$A:$A,$A99,'Week1'!$E:$E)+SUMIF('Week2'!$A:$A,$A99,'Week2'!$E:$E)+SUMIF('Week3'!$A:$A,$A99,'Week3'!$E:$E)+SUMIF('Week4'!$A:$A,$A99,'Week4'!$E:$E)</f>
        <v/>
      </c>
      <c r="F99" s="7">
        <f>SUMIF('Week1'!$A:$A,$A99,'Week1'!$F:$F)+SUMIF('Week2'!$A:$A,$A99,'Week2'!$F:$F)+SUMIF('Week3'!$A:$A,$A99,'Week3'!$F:$F)+SUMIF('Week4'!$A:$A,$A99,'Week4'!$F:$F)</f>
        <v/>
      </c>
      <c r="G99" s="7">
        <f>SUMIF('Week1'!$A:$A,$A99,'Week1'!$G:$G)+SUMIF('Week2'!$A:$A,$A99,'Week2'!$G:$G)+SUMIF('Week3'!$A:$A,$A99,'Week3'!$G:$G)+SUMIF('Week4'!$A:$A,$A99,'Week4'!$G:$G)</f>
        <v/>
      </c>
      <c r="H99" s="7">
        <f>SUMIF('Week1'!$A:$A,$A99,'Week1'!$H:$H)+SUMIF('Week2'!$A:$A,$A99,'Week2'!$H:$H)+SUMIF('Week3'!$A:$A,$A99,'Week3'!$H:$H)+SUMIF('Week4'!$A:$A,$A99,'Week4'!$H:$H)</f>
        <v/>
      </c>
      <c r="I99" s="7">
        <f>SUMIF('Week1'!$A:$A,$A99,'Week1'!$I:$I)+SUMIF('Week2'!$A:$A,$A99,'Week2'!$I:$I)+SUMIF('Week3'!$A:$A,$A99,'Week3'!$I:$I)+SUMIF('Week4'!$A:$A,$A99,'Week4'!$I:$I)</f>
        <v/>
      </c>
      <c r="J99" s="7">
        <f>SUMIF('Week1'!$A:$A,$A99,'Week1'!$J:$J)+SUMIF('Week2'!$A:$A,$A99,'Week2'!$J:$J)+SUMIF('Week3'!$A:$A,$A99,'Week3'!$J:$J)+SUMIF('Week4'!$A:$A,$A99,'Week4'!$J:$J)</f>
        <v/>
      </c>
      <c r="K99" s="7">
        <f>SUMIF('Week1'!$A:$A,$A99,'Week1'!$K:$K)+SUMIF('Week2'!$A:$A,$A99,'Week2'!$K:$K)+SUMIF('Week3'!$A:$A,$A99,'Week3'!$K:$K)+SUMIF('Week4'!$A:$A,$A99,'Week4'!$K:$K)</f>
        <v/>
      </c>
    </row>
    <row r="100">
      <c r="A100" s="6" t="inlineStr">
        <is>
          <t>KHUSHBUBEN RAMESHBHAI VEKARIA EOLL</t>
        </is>
      </c>
      <c r="B100" s="6" t="inlineStr">
        <is>
          <t>A-EL TECHNICAL</t>
        </is>
      </c>
      <c r="C100" s="7" t="n">
        <v>1636</v>
      </c>
      <c r="D100" s="7">
        <f>SUMIF('Week1'!$A:$A,$A100,'Week1'!$D:$D)+SUMIF('Week2'!$A:$A,$A100,'Week2'!$D:$D)+SUMIF('Week3'!$A:$A,$A100,'Week3'!$D:$D)+SUMIF('Week4'!$A:$A,$A100,'Week4'!$D:$D)</f>
        <v/>
      </c>
      <c r="E100" s="7">
        <f>SUMIF('Week1'!$A:$A,$A100,'Week1'!$E:$E)+SUMIF('Week2'!$A:$A,$A100,'Week2'!$E:$E)+SUMIF('Week3'!$A:$A,$A100,'Week3'!$E:$E)+SUMIF('Week4'!$A:$A,$A100,'Week4'!$E:$E)</f>
        <v/>
      </c>
      <c r="F100" s="7">
        <f>SUMIF('Week1'!$A:$A,$A100,'Week1'!$F:$F)+SUMIF('Week2'!$A:$A,$A100,'Week2'!$F:$F)+SUMIF('Week3'!$A:$A,$A100,'Week3'!$F:$F)+SUMIF('Week4'!$A:$A,$A100,'Week4'!$F:$F)</f>
        <v/>
      </c>
      <c r="G100" s="7">
        <f>SUMIF('Week1'!$A:$A,$A100,'Week1'!$G:$G)+SUMIF('Week2'!$A:$A,$A100,'Week2'!$G:$G)+SUMIF('Week3'!$A:$A,$A100,'Week3'!$G:$G)+SUMIF('Week4'!$A:$A,$A100,'Week4'!$G:$G)</f>
        <v/>
      </c>
      <c r="H100" s="7">
        <f>SUMIF('Week1'!$A:$A,$A100,'Week1'!$H:$H)+SUMIF('Week2'!$A:$A,$A100,'Week2'!$H:$H)+SUMIF('Week3'!$A:$A,$A100,'Week3'!$H:$H)+SUMIF('Week4'!$A:$A,$A100,'Week4'!$H:$H)</f>
        <v/>
      </c>
      <c r="I100" s="7">
        <f>SUMIF('Week1'!$A:$A,$A100,'Week1'!$I:$I)+SUMIF('Week2'!$A:$A,$A100,'Week2'!$I:$I)+SUMIF('Week3'!$A:$A,$A100,'Week3'!$I:$I)+SUMIF('Week4'!$A:$A,$A100,'Week4'!$I:$I)</f>
        <v/>
      </c>
      <c r="J100" s="7">
        <f>SUMIF('Week1'!$A:$A,$A100,'Week1'!$J:$J)+SUMIF('Week2'!$A:$A,$A100,'Week2'!$J:$J)+SUMIF('Week3'!$A:$A,$A100,'Week3'!$J:$J)+SUMIF('Week4'!$A:$A,$A100,'Week4'!$J:$J)</f>
        <v/>
      </c>
      <c r="K100" s="7">
        <f>SUMIF('Week1'!$A:$A,$A100,'Week1'!$K:$K)+SUMIF('Week2'!$A:$A,$A100,'Week2'!$K:$K)+SUMIF('Week3'!$A:$A,$A100,'Week3'!$K:$K)+SUMIF('Week4'!$A:$A,$A100,'Week4'!$K:$K)</f>
        <v/>
      </c>
    </row>
    <row r="101">
      <c r="A101" s="6" t="inlineStr">
        <is>
          <t>AKSHAY SHASHIKANTBHAI DABGAR EOLL</t>
        </is>
      </c>
      <c r="B101" s="6" t="inlineStr">
        <is>
          <t>A-EL WRHS</t>
        </is>
      </c>
      <c r="C101" s="7" t="n">
        <v>1667</v>
      </c>
      <c r="D101" s="7">
        <f>SUMIF('Week1'!$A:$A,$A101,'Week1'!$D:$D)+SUMIF('Week2'!$A:$A,$A101,'Week2'!$D:$D)+SUMIF('Week3'!$A:$A,$A101,'Week3'!$D:$D)+SUMIF('Week4'!$A:$A,$A101,'Week4'!$D:$D)</f>
        <v/>
      </c>
      <c r="E101" s="7">
        <f>SUMIF('Week1'!$A:$A,$A101,'Week1'!$E:$E)+SUMIF('Week2'!$A:$A,$A101,'Week2'!$E:$E)+SUMIF('Week3'!$A:$A,$A101,'Week3'!$E:$E)+SUMIF('Week4'!$A:$A,$A101,'Week4'!$E:$E)</f>
        <v/>
      </c>
      <c r="F101" s="7">
        <f>SUMIF('Week1'!$A:$A,$A101,'Week1'!$F:$F)+SUMIF('Week2'!$A:$A,$A101,'Week2'!$F:$F)+SUMIF('Week3'!$A:$A,$A101,'Week3'!$F:$F)+SUMIF('Week4'!$A:$A,$A101,'Week4'!$F:$F)</f>
        <v/>
      </c>
      <c r="G101" s="7">
        <f>SUMIF('Week1'!$A:$A,$A101,'Week1'!$G:$G)+SUMIF('Week2'!$A:$A,$A101,'Week2'!$G:$G)+SUMIF('Week3'!$A:$A,$A101,'Week3'!$G:$G)+SUMIF('Week4'!$A:$A,$A101,'Week4'!$G:$G)</f>
        <v/>
      </c>
      <c r="H101" s="7">
        <f>SUMIF('Week1'!$A:$A,$A101,'Week1'!$H:$H)+SUMIF('Week2'!$A:$A,$A101,'Week2'!$H:$H)+SUMIF('Week3'!$A:$A,$A101,'Week3'!$H:$H)+SUMIF('Week4'!$A:$A,$A101,'Week4'!$H:$H)</f>
        <v/>
      </c>
      <c r="I101" s="7">
        <f>SUMIF('Week1'!$A:$A,$A101,'Week1'!$I:$I)+SUMIF('Week2'!$A:$A,$A101,'Week2'!$I:$I)+SUMIF('Week3'!$A:$A,$A101,'Week3'!$I:$I)+SUMIF('Week4'!$A:$A,$A101,'Week4'!$I:$I)</f>
        <v/>
      </c>
      <c r="J101" s="7">
        <f>SUMIF('Week1'!$A:$A,$A101,'Week1'!$J:$J)+SUMIF('Week2'!$A:$A,$A101,'Week2'!$J:$J)+SUMIF('Week3'!$A:$A,$A101,'Week3'!$J:$J)+SUMIF('Week4'!$A:$A,$A101,'Week4'!$J:$J)</f>
        <v/>
      </c>
      <c r="K101" s="7">
        <f>SUMIF('Week1'!$A:$A,$A101,'Week1'!$K:$K)+SUMIF('Week2'!$A:$A,$A101,'Week2'!$K:$K)+SUMIF('Week3'!$A:$A,$A101,'Week3'!$K:$K)+SUMIF('Week4'!$A:$A,$A101,'Week4'!$K:$K)</f>
        <v/>
      </c>
    </row>
    <row r="102">
      <c r="A102" s="6" t="inlineStr">
        <is>
          <t>PRUTHVI VAISHYA EOLL</t>
        </is>
      </c>
      <c r="B102" s="6" t="inlineStr">
        <is>
          <t>A-EL WRHS</t>
        </is>
      </c>
      <c r="C102" s="7" t="n">
        <v>1663</v>
      </c>
      <c r="D102" s="7">
        <f>SUMIF('Week1'!$A:$A,$A102,'Week1'!$D:$D)+SUMIF('Week2'!$A:$A,$A102,'Week2'!$D:$D)+SUMIF('Week3'!$A:$A,$A102,'Week3'!$D:$D)+SUMIF('Week4'!$A:$A,$A102,'Week4'!$D:$D)</f>
        <v/>
      </c>
      <c r="E102" s="7">
        <f>SUMIF('Week1'!$A:$A,$A102,'Week1'!$E:$E)+SUMIF('Week2'!$A:$A,$A102,'Week2'!$E:$E)+SUMIF('Week3'!$A:$A,$A102,'Week3'!$E:$E)+SUMIF('Week4'!$A:$A,$A102,'Week4'!$E:$E)</f>
        <v/>
      </c>
      <c r="F102" s="7">
        <f>SUMIF('Week1'!$A:$A,$A102,'Week1'!$F:$F)+SUMIF('Week2'!$A:$A,$A102,'Week2'!$F:$F)+SUMIF('Week3'!$A:$A,$A102,'Week3'!$F:$F)+SUMIF('Week4'!$A:$A,$A102,'Week4'!$F:$F)</f>
        <v/>
      </c>
      <c r="G102" s="7">
        <f>SUMIF('Week1'!$A:$A,$A102,'Week1'!$G:$G)+SUMIF('Week2'!$A:$A,$A102,'Week2'!$G:$G)+SUMIF('Week3'!$A:$A,$A102,'Week3'!$G:$G)+SUMIF('Week4'!$A:$A,$A102,'Week4'!$G:$G)</f>
        <v/>
      </c>
      <c r="H102" s="7">
        <f>SUMIF('Week1'!$A:$A,$A102,'Week1'!$H:$H)+SUMIF('Week2'!$A:$A,$A102,'Week2'!$H:$H)+SUMIF('Week3'!$A:$A,$A102,'Week3'!$H:$H)+SUMIF('Week4'!$A:$A,$A102,'Week4'!$H:$H)</f>
        <v/>
      </c>
      <c r="I102" s="7">
        <f>SUMIF('Week1'!$A:$A,$A102,'Week1'!$I:$I)+SUMIF('Week2'!$A:$A,$A102,'Week2'!$I:$I)+SUMIF('Week3'!$A:$A,$A102,'Week3'!$I:$I)+SUMIF('Week4'!$A:$A,$A102,'Week4'!$I:$I)</f>
        <v/>
      </c>
      <c r="J102" s="7">
        <f>SUMIF('Week1'!$A:$A,$A102,'Week1'!$J:$J)+SUMIF('Week2'!$A:$A,$A102,'Week2'!$J:$J)+SUMIF('Week3'!$A:$A,$A102,'Week3'!$J:$J)+SUMIF('Week4'!$A:$A,$A102,'Week4'!$J:$J)</f>
        <v/>
      </c>
      <c r="K102" s="7">
        <f>SUMIF('Week1'!$A:$A,$A102,'Week1'!$K:$K)+SUMIF('Week2'!$A:$A,$A102,'Week2'!$K:$K)+SUMIF('Week3'!$A:$A,$A102,'Week3'!$K:$K)+SUMIF('Week4'!$A:$A,$A102,'Week4'!$K:$K)</f>
        <v/>
      </c>
    </row>
    <row r="103">
      <c r="A103" s="6" t="inlineStr">
        <is>
          <t>TERRY CARVALHO PRIDE MANAGEMENT</t>
        </is>
      </c>
      <c r="B103" s="6" t="inlineStr">
        <is>
          <t>A-PM PKNG HIGH_RISK</t>
        </is>
      </c>
      <c r="C103" s="7" t="n">
        <v>1034</v>
      </c>
      <c r="D103" s="7">
        <f>SUMIF('Week1'!$A:$A,$A103,'Week1'!$D:$D)+SUMIF('Week2'!$A:$A,$A103,'Week2'!$D:$D)+SUMIF('Week3'!$A:$A,$A103,'Week3'!$D:$D)+SUMIF('Week4'!$A:$A,$A103,'Week4'!$D:$D)</f>
        <v/>
      </c>
      <c r="E103" s="7">
        <f>SUMIF('Week1'!$A:$A,$A103,'Week1'!$E:$E)+SUMIF('Week2'!$A:$A,$A103,'Week2'!$E:$E)+SUMIF('Week3'!$A:$A,$A103,'Week3'!$E:$E)+SUMIF('Week4'!$A:$A,$A103,'Week4'!$E:$E)</f>
        <v/>
      </c>
      <c r="F103" s="7">
        <f>SUMIF('Week1'!$A:$A,$A103,'Week1'!$F:$F)+SUMIF('Week2'!$A:$A,$A103,'Week2'!$F:$F)+SUMIF('Week3'!$A:$A,$A103,'Week3'!$F:$F)+SUMIF('Week4'!$A:$A,$A103,'Week4'!$F:$F)</f>
        <v/>
      </c>
      <c r="G103" s="7">
        <f>SUMIF('Week1'!$A:$A,$A103,'Week1'!$G:$G)+SUMIF('Week2'!$A:$A,$A103,'Week2'!$G:$G)+SUMIF('Week3'!$A:$A,$A103,'Week3'!$G:$G)+SUMIF('Week4'!$A:$A,$A103,'Week4'!$G:$G)</f>
        <v/>
      </c>
      <c r="H103" s="7">
        <f>SUMIF('Week1'!$A:$A,$A103,'Week1'!$H:$H)+SUMIF('Week2'!$A:$A,$A103,'Week2'!$H:$H)+SUMIF('Week3'!$A:$A,$A103,'Week3'!$H:$H)+SUMIF('Week4'!$A:$A,$A103,'Week4'!$H:$H)</f>
        <v/>
      </c>
      <c r="I103" s="7">
        <f>SUMIF('Week1'!$A:$A,$A103,'Week1'!$I:$I)+SUMIF('Week2'!$A:$A,$A103,'Week2'!$I:$I)+SUMIF('Week3'!$A:$A,$A103,'Week3'!$I:$I)+SUMIF('Week4'!$A:$A,$A103,'Week4'!$I:$I)</f>
        <v/>
      </c>
      <c r="J103" s="7">
        <f>SUMIF('Week1'!$A:$A,$A103,'Week1'!$J:$J)+SUMIF('Week2'!$A:$A,$A103,'Week2'!$J:$J)+SUMIF('Week3'!$A:$A,$A103,'Week3'!$J:$J)+SUMIF('Week4'!$A:$A,$A103,'Week4'!$J:$J)</f>
        <v/>
      </c>
      <c r="K103" s="7">
        <f>SUMIF('Week1'!$A:$A,$A103,'Week1'!$K:$K)+SUMIF('Week2'!$A:$A,$A103,'Week2'!$K:$K)+SUMIF('Week3'!$A:$A,$A103,'Week3'!$K:$K)+SUMIF('Week4'!$A:$A,$A103,'Week4'!$K:$K)</f>
        <v/>
      </c>
    </row>
    <row r="104">
      <c r="A104" s="6" t="inlineStr">
        <is>
          <t>ROGER FERNANDES RESPONSE</t>
        </is>
      </c>
      <c r="B104" s="6" t="inlineStr">
        <is>
          <t>A-RS OFCE</t>
        </is>
      </c>
      <c r="C104" s="7" t="n">
        <v>1669</v>
      </c>
      <c r="D104" s="7">
        <f>SUMIF('Week1'!$A:$A,$A104,'Week1'!$D:$D)+SUMIF('Week2'!$A:$A,$A104,'Week2'!$D:$D)+SUMIF('Week3'!$A:$A,$A104,'Week3'!$D:$D)+SUMIF('Week4'!$A:$A,$A104,'Week4'!$D:$D)</f>
        <v/>
      </c>
      <c r="E104" s="7">
        <f>SUMIF('Week1'!$A:$A,$A104,'Week1'!$E:$E)+SUMIF('Week2'!$A:$A,$A104,'Week2'!$E:$E)+SUMIF('Week3'!$A:$A,$A104,'Week3'!$E:$E)+SUMIF('Week4'!$A:$A,$A104,'Week4'!$E:$E)</f>
        <v/>
      </c>
      <c r="F104" s="7">
        <f>SUMIF('Week1'!$A:$A,$A104,'Week1'!$F:$F)+SUMIF('Week2'!$A:$A,$A104,'Week2'!$F:$F)+SUMIF('Week3'!$A:$A,$A104,'Week3'!$F:$F)+SUMIF('Week4'!$A:$A,$A104,'Week4'!$F:$F)</f>
        <v/>
      </c>
      <c r="G104" s="7">
        <f>SUMIF('Week1'!$A:$A,$A104,'Week1'!$G:$G)+SUMIF('Week2'!$A:$A,$A104,'Week2'!$G:$G)+SUMIF('Week3'!$A:$A,$A104,'Week3'!$G:$G)+SUMIF('Week4'!$A:$A,$A104,'Week4'!$G:$G)</f>
        <v/>
      </c>
      <c r="H104" s="7">
        <f>SUMIF('Week1'!$A:$A,$A104,'Week1'!$H:$H)+SUMIF('Week2'!$A:$A,$A104,'Week2'!$H:$H)+SUMIF('Week3'!$A:$A,$A104,'Week3'!$H:$H)+SUMIF('Week4'!$A:$A,$A104,'Week4'!$H:$H)</f>
        <v/>
      </c>
      <c r="I104" s="7">
        <f>SUMIF('Week1'!$A:$A,$A104,'Week1'!$I:$I)+SUMIF('Week2'!$A:$A,$A104,'Week2'!$I:$I)+SUMIF('Week3'!$A:$A,$A104,'Week3'!$I:$I)+SUMIF('Week4'!$A:$A,$A104,'Week4'!$I:$I)</f>
        <v/>
      </c>
      <c r="J104" s="7">
        <f>SUMIF('Week1'!$A:$A,$A104,'Week1'!$J:$J)+SUMIF('Week2'!$A:$A,$A104,'Week2'!$J:$J)+SUMIF('Week3'!$A:$A,$A104,'Week3'!$J:$J)+SUMIF('Week4'!$A:$A,$A104,'Week4'!$J:$J)</f>
        <v/>
      </c>
      <c r="K104" s="7">
        <f>SUMIF('Week1'!$A:$A,$A104,'Week1'!$K:$K)+SUMIF('Week2'!$A:$A,$A104,'Week2'!$K:$K)+SUMIF('Week3'!$A:$A,$A104,'Week3'!$K:$K)+SUMIF('Week4'!$A:$A,$A104,'Week4'!$K:$K)</f>
        <v/>
      </c>
    </row>
    <row r="105">
      <c r="A105" s="6" t="inlineStr">
        <is>
          <t>VISHNUBHAI KALSARIYA RESPONSE</t>
        </is>
      </c>
      <c r="B105" s="6" t="inlineStr">
        <is>
          <t>A-RS PKNG SLEEVING</t>
        </is>
      </c>
      <c r="C105" s="7" t="n">
        <v>1652</v>
      </c>
      <c r="D105" s="7">
        <f>SUMIF('Week1'!$A:$A,$A105,'Week1'!$D:$D)+SUMIF('Week2'!$A:$A,$A105,'Week2'!$D:$D)+SUMIF('Week3'!$A:$A,$A105,'Week3'!$D:$D)+SUMIF('Week4'!$A:$A,$A105,'Week4'!$D:$D)</f>
        <v/>
      </c>
      <c r="E105" s="7">
        <f>SUMIF('Week1'!$A:$A,$A105,'Week1'!$E:$E)+SUMIF('Week2'!$A:$A,$A105,'Week2'!$E:$E)+SUMIF('Week3'!$A:$A,$A105,'Week3'!$E:$E)+SUMIF('Week4'!$A:$A,$A105,'Week4'!$E:$E)</f>
        <v/>
      </c>
      <c r="F105" s="7">
        <f>SUMIF('Week1'!$A:$A,$A105,'Week1'!$F:$F)+SUMIF('Week2'!$A:$A,$A105,'Week2'!$F:$F)+SUMIF('Week3'!$A:$A,$A105,'Week3'!$F:$F)+SUMIF('Week4'!$A:$A,$A105,'Week4'!$F:$F)</f>
        <v/>
      </c>
      <c r="G105" s="7">
        <f>SUMIF('Week1'!$A:$A,$A105,'Week1'!$G:$G)+SUMIF('Week2'!$A:$A,$A105,'Week2'!$G:$G)+SUMIF('Week3'!$A:$A,$A105,'Week3'!$G:$G)+SUMIF('Week4'!$A:$A,$A105,'Week4'!$G:$G)</f>
        <v/>
      </c>
      <c r="H105" s="7">
        <f>SUMIF('Week1'!$A:$A,$A105,'Week1'!$H:$H)+SUMIF('Week2'!$A:$A,$A105,'Week2'!$H:$H)+SUMIF('Week3'!$A:$A,$A105,'Week3'!$H:$H)+SUMIF('Week4'!$A:$A,$A105,'Week4'!$H:$H)</f>
        <v/>
      </c>
      <c r="I105" s="7">
        <f>SUMIF('Week1'!$A:$A,$A105,'Week1'!$I:$I)+SUMIF('Week2'!$A:$A,$A105,'Week2'!$I:$I)+SUMIF('Week3'!$A:$A,$A105,'Week3'!$I:$I)+SUMIF('Week4'!$A:$A,$A105,'Week4'!$I:$I)</f>
        <v/>
      </c>
      <c r="J105" s="7">
        <f>SUMIF('Week1'!$A:$A,$A105,'Week1'!$J:$J)+SUMIF('Week2'!$A:$A,$A105,'Week2'!$J:$J)+SUMIF('Week3'!$A:$A,$A105,'Week3'!$J:$J)+SUMIF('Week4'!$A:$A,$A105,'Week4'!$J:$J)</f>
        <v/>
      </c>
      <c r="K105" s="7">
        <f>SUMIF('Week1'!$A:$A,$A105,'Week1'!$K:$K)+SUMIF('Week2'!$A:$A,$A105,'Week2'!$K:$K)+SUMIF('Week3'!$A:$A,$A105,'Week3'!$K:$K)+SUMIF('Week4'!$A:$A,$A105,'Week4'!$K:$K)</f>
        <v/>
      </c>
    </row>
    <row r="106">
      <c r="A106" s="6" t="inlineStr">
        <is>
          <t>SUKHDEEP SINGH RESPONSE</t>
        </is>
      </c>
      <c r="B106" s="6" t="inlineStr">
        <is>
          <t>A-RS PROD BELT</t>
        </is>
      </c>
      <c r="C106" s="7" t="n">
        <v>1654</v>
      </c>
      <c r="D106" s="7">
        <f>SUMIF('Week1'!$A:$A,$A106,'Week1'!$D:$D)+SUMIF('Week2'!$A:$A,$A106,'Week2'!$D:$D)+SUMIF('Week3'!$A:$A,$A106,'Week3'!$D:$D)+SUMIF('Week4'!$A:$A,$A106,'Week4'!$D:$D)</f>
        <v/>
      </c>
      <c r="E106" s="7">
        <f>SUMIF('Week1'!$A:$A,$A106,'Week1'!$E:$E)+SUMIF('Week2'!$A:$A,$A106,'Week2'!$E:$E)+SUMIF('Week3'!$A:$A,$A106,'Week3'!$E:$E)+SUMIF('Week4'!$A:$A,$A106,'Week4'!$E:$E)</f>
        <v/>
      </c>
      <c r="F106" s="7">
        <f>SUMIF('Week1'!$A:$A,$A106,'Week1'!$F:$F)+SUMIF('Week2'!$A:$A,$A106,'Week2'!$F:$F)+SUMIF('Week3'!$A:$A,$A106,'Week3'!$F:$F)+SUMIF('Week4'!$A:$A,$A106,'Week4'!$F:$F)</f>
        <v/>
      </c>
      <c r="G106" s="7">
        <f>SUMIF('Week1'!$A:$A,$A106,'Week1'!$G:$G)+SUMIF('Week2'!$A:$A,$A106,'Week2'!$G:$G)+SUMIF('Week3'!$A:$A,$A106,'Week3'!$G:$G)+SUMIF('Week4'!$A:$A,$A106,'Week4'!$G:$G)</f>
        <v/>
      </c>
      <c r="H106" s="7">
        <f>SUMIF('Week1'!$A:$A,$A106,'Week1'!$H:$H)+SUMIF('Week2'!$A:$A,$A106,'Week2'!$H:$H)+SUMIF('Week3'!$A:$A,$A106,'Week3'!$H:$H)+SUMIF('Week4'!$A:$A,$A106,'Week4'!$H:$H)</f>
        <v/>
      </c>
      <c r="I106" s="7">
        <f>SUMIF('Week1'!$A:$A,$A106,'Week1'!$I:$I)+SUMIF('Week2'!$A:$A,$A106,'Week2'!$I:$I)+SUMIF('Week3'!$A:$A,$A106,'Week3'!$I:$I)+SUMIF('Week4'!$A:$A,$A106,'Week4'!$I:$I)</f>
        <v/>
      </c>
      <c r="J106" s="7">
        <f>SUMIF('Week1'!$A:$A,$A106,'Week1'!$J:$J)+SUMIF('Week2'!$A:$A,$A106,'Week2'!$J:$J)+SUMIF('Week3'!$A:$A,$A106,'Week3'!$J:$J)+SUMIF('Week4'!$A:$A,$A106,'Week4'!$J:$J)</f>
        <v/>
      </c>
      <c r="K106" s="7">
        <f>SUMIF('Week1'!$A:$A,$A106,'Week1'!$K:$K)+SUMIF('Week2'!$A:$A,$A106,'Week2'!$K:$K)+SUMIF('Week3'!$A:$A,$A106,'Week3'!$K:$K)+SUMIF('Week4'!$A:$A,$A106,'Week4'!$K:$K)</f>
        <v/>
      </c>
    </row>
    <row r="107">
      <c r="A107" s="6" t="inlineStr">
        <is>
          <t>HRUTIK SONAWANE RESPONSE</t>
        </is>
      </c>
      <c r="B107" s="6" t="inlineStr">
        <is>
          <t>A-RS PROD BELT</t>
        </is>
      </c>
      <c r="C107" s="7" t="n">
        <v>1660</v>
      </c>
      <c r="D107" s="7">
        <f>SUMIF('Week1'!$A:$A,$A107,'Week1'!$D:$D)+SUMIF('Week2'!$A:$A,$A107,'Week2'!$D:$D)+SUMIF('Week3'!$A:$A,$A107,'Week3'!$D:$D)+SUMIF('Week4'!$A:$A,$A107,'Week4'!$D:$D)</f>
        <v/>
      </c>
      <c r="E107" s="7">
        <f>SUMIF('Week1'!$A:$A,$A107,'Week1'!$E:$E)+SUMIF('Week2'!$A:$A,$A107,'Week2'!$E:$E)+SUMIF('Week3'!$A:$A,$A107,'Week3'!$E:$E)+SUMIF('Week4'!$A:$A,$A107,'Week4'!$E:$E)</f>
        <v/>
      </c>
      <c r="F107" s="7">
        <f>SUMIF('Week1'!$A:$A,$A107,'Week1'!$F:$F)+SUMIF('Week2'!$A:$A,$A107,'Week2'!$F:$F)+SUMIF('Week3'!$A:$A,$A107,'Week3'!$F:$F)+SUMIF('Week4'!$A:$A,$A107,'Week4'!$F:$F)</f>
        <v/>
      </c>
      <c r="G107" s="7">
        <f>SUMIF('Week1'!$A:$A,$A107,'Week1'!$G:$G)+SUMIF('Week2'!$A:$A,$A107,'Week2'!$G:$G)+SUMIF('Week3'!$A:$A,$A107,'Week3'!$G:$G)+SUMIF('Week4'!$A:$A,$A107,'Week4'!$G:$G)</f>
        <v/>
      </c>
      <c r="H107" s="7">
        <f>SUMIF('Week1'!$A:$A,$A107,'Week1'!$H:$H)+SUMIF('Week2'!$A:$A,$A107,'Week2'!$H:$H)+SUMIF('Week3'!$A:$A,$A107,'Week3'!$H:$H)+SUMIF('Week4'!$A:$A,$A107,'Week4'!$H:$H)</f>
        <v/>
      </c>
      <c r="I107" s="7">
        <f>SUMIF('Week1'!$A:$A,$A107,'Week1'!$I:$I)+SUMIF('Week2'!$A:$A,$A107,'Week2'!$I:$I)+SUMIF('Week3'!$A:$A,$A107,'Week3'!$I:$I)+SUMIF('Week4'!$A:$A,$A107,'Week4'!$I:$I)</f>
        <v/>
      </c>
      <c r="J107" s="7">
        <f>SUMIF('Week1'!$A:$A,$A107,'Week1'!$J:$J)+SUMIF('Week2'!$A:$A,$A107,'Week2'!$J:$J)+SUMIF('Week3'!$A:$A,$A107,'Week3'!$J:$J)+SUMIF('Week4'!$A:$A,$A107,'Week4'!$J:$J)</f>
        <v/>
      </c>
      <c r="K107" s="7">
        <f>SUMIF('Week1'!$A:$A,$A107,'Week1'!$K:$K)+SUMIF('Week2'!$A:$A,$A107,'Week2'!$K:$K)+SUMIF('Week3'!$A:$A,$A107,'Week3'!$K:$K)+SUMIF('Week4'!$A:$A,$A107,'Week4'!$K:$K)</f>
        <v/>
      </c>
    </row>
    <row r="108">
      <c r="A108" s="6" t="inlineStr">
        <is>
          <t>KANJI CARSANE</t>
        </is>
      </c>
      <c r="B108" s="6" t="inlineStr">
        <is>
          <t>CLNR</t>
        </is>
      </c>
      <c r="C108" s="7" t="n">
        <v>692</v>
      </c>
      <c r="D108" s="7">
        <f>SUMIF('Week1'!$A:$A,$A108,'Week1'!$D:$D)+SUMIF('Week2'!$A:$A,$A108,'Week2'!$D:$D)+SUMIF('Week3'!$A:$A,$A108,'Week3'!$D:$D)+SUMIF('Week4'!$A:$A,$A108,'Week4'!$D:$D)</f>
        <v/>
      </c>
      <c r="E108" s="7">
        <f>SUMIF('Week1'!$A:$A,$A108,'Week1'!$E:$E)+SUMIF('Week2'!$A:$A,$A108,'Week2'!$E:$E)+SUMIF('Week3'!$A:$A,$A108,'Week3'!$E:$E)+SUMIF('Week4'!$A:$A,$A108,'Week4'!$E:$E)</f>
        <v/>
      </c>
      <c r="F108" s="7">
        <f>SUMIF('Week1'!$A:$A,$A108,'Week1'!$F:$F)+SUMIF('Week2'!$A:$A,$A108,'Week2'!$F:$F)+SUMIF('Week3'!$A:$A,$A108,'Week3'!$F:$F)+SUMIF('Week4'!$A:$A,$A108,'Week4'!$F:$F)</f>
        <v/>
      </c>
      <c r="G108" s="7">
        <f>SUMIF('Week1'!$A:$A,$A108,'Week1'!$G:$G)+SUMIF('Week2'!$A:$A,$A108,'Week2'!$G:$G)+SUMIF('Week3'!$A:$A,$A108,'Week3'!$G:$G)+SUMIF('Week4'!$A:$A,$A108,'Week4'!$G:$G)</f>
        <v/>
      </c>
      <c r="H108" s="7">
        <f>SUMIF('Week1'!$A:$A,$A108,'Week1'!$H:$H)+SUMIF('Week2'!$A:$A,$A108,'Week2'!$H:$H)+SUMIF('Week3'!$A:$A,$A108,'Week3'!$H:$H)+SUMIF('Week4'!$A:$A,$A108,'Week4'!$H:$H)</f>
        <v/>
      </c>
      <c r="I108" s="7">
        <f>SUMIF('Week1'!$A:$A,$A108,'Week1'!$I:$I)+SUMIF('Week2'!$A:$A,$A108,'Week2'!$I:$I)+SUMIF('Week3'!$A:$A,$A108,'Week3'!$I:$I)+SUMIF('Week4'!$A:$A,$A108,'Week4'!$I:$I)</f>
        <v/>
      </c>
      <c r="J108" s="7">
        <f>SUMIF('Week1'!$A:$A,$A108,'Week1'!$J:$J)+SUMIF('Week2'!$A:$A,$A108,'Week2'!$J:$J)+SUMIF('Week3'!$A:$A,$A108,'Week3'!$J:$J)+SUMIF('Week4'!$A:$A,$A108,'Week4'!$J:$J)</f>
        <v/>
      </c>
      <c r="K108" s="7">
        <f>SUMIF('Week1'!$A:$A,$A108,'Week1'!$K:$K)+SUMIF('Week2'!$A:$A,$A108,'Week2'!$K:$K)+SUMIF('Week3'!$A:$A,$A108,'Week3'!$K:$K)+SUMIF('Week4'!$A:$A,$A108,'Week4'!$K:$K)</f>
        <v/>
      </c>
    </row>
    <row r="109">
      <c r="A109" s="6" t="inlineStr">
        <is>
          <t>DHANJI GIVA</t>
        </is>
      </c>
      <c r="B109" s="6" t="inlineStr">
        <is>
          <t>CLNR</t>
        </is>
      </c>
      <c r="C109" s="7" t="n">
        <v>718</v>
      </c>
      <c r="D109" s="7">
        <f>SUMIF('Week1'!$A:$A,$A109,'Week1'!$D:$D)+SUMIF('Week2'!$A:$A,$A109,'Week2'!$D:$D)+SUMIF('Week3'!$A:$A,$A109,'Week3'!$D:$D)+SUMIF('Week4'!$A:$A,$A109,'Week4'!$D:$D)</f>
        <v/>
      </c>
      <c r="E109" s="7">
        <f>SUMIF('Week1'!$A:$A,$A109,'Week1'!$E:$E)+SUMIF('Week2'!$A:$A,$A109,'Week2'!$E:$E)+SUMIF('Week3'!$A:$A,$A109,'Week3'!$E:$E)+SUMIF('Week4'!$A:$A,$A109,'Week4'!$E:$E)</f>
        <v/>
      </c>
      <c r="F109" s="7">
        <f>SUMIF('Week1'!$A:$A,$A109,'Week1'!$F:$F)+SUMIF('Week2'!$A:$A,$A109,'Week2'!$F:$F)+SUMIF('Week3'!$A:$A,$A109,'Week3'!$F:$F)+SUMIF('Week4'!$A:$A,$A109,'Week4'!$F:$F)</f>
        <v/>
      </c>
      <c r="G109" s="7">
        <f>SUMIF('Week1'!$A:$A,$A109,'Week1'!$G:$G)+SUMIF('Week2'!$A:$A,$A109,'Week2'!$G:$G)+SUMIF('Week3'!$A:$A,$A109,'Week3'!$G:$G)+SUMIF('Week4'!$A:$A,$A109,'Week4'!$G:$G)</f>
        <v/>
      </c>
      <c r="H109" s="7">
        <f>SUMIF('Week1'!$A:$A,$A109,'Week1'!$H:$H)+SUMIF('Week2'!$A:$A,$A109,'Week2'!$H:$H)+SUMIF('Week3'!$A:$A,$A109,'Week3'!$H:$H)+SUMIF('Week4'!$A:$A,$A109,'Week4'!$H:$H)</f>
        <v/>
      </c>
      <c r="I109" s="7">
        <f>SUMIF('Week1'!$A:$A,$A109,'Week1'!$I:$I)+SUMIF('Week2'!$A:$A,$A109,'Week2'!$I:$I)+SUMIF('Week3'!$A:$A,$A109,'Week3'!$I:$I)+SUMIF('Week4'!$A:$A,$A109,'Week4'!$I:$I)</f>
        <v/>
      </c>
      <c r="J109" s="7">
        <f>SUMIF('Week1'!$A:$A,$A109,'Week1'!$J:$J)+SUMIF('Week2'!$A:$A,$A109,'Week2'!$J:$J)+SUMIF('Week3'!$A:$A,$A109,'Week3'!$J:$J)+SUMIF('Week4'!$A:$A,$A109,'Week4'!$J:$J)</f>
        <v/>
      </c>
      <c r="K109" s="7">
        <f>SUMIF('Week1'!$A:$A,$A109,'Week1'!$K:$K)+SUMIF('Week2'!$A:$A,$A109,'Week2'!$K:$K)+SUMIF('Week3'!$A:$A,$A109,'Week3'!$K:$K)+SUMIF('Week4'!$A:$A,$A109,'Week4'!$K:$K)</f>
        <v/>
      </c>
    </row>
    <row r="110">
      <c r="A110" s="6" t="inlineStr">
        <is>
          <t>DINESH KUMAR NARANBHAI RATHOD</t>
        </is>
      </c>
      <c r="B110" s="6" t="inlineStr">
        <is>
          <t>CLNR</t>
        </is>
      </c>
      <c r="C110" s="7" t="n">
        <v>629</v>
      </c>
      <c r="D110" s="7">
        <f>SUMIF('Week1'!$A:$A,$A110,'Week1'!$D:$D)+SUMIF('Week2'!$A:$A,$A110,'Week2'!$D:$D)+SUMIF('Week3'!$A:$A,$A110,'Week3'!$D:$D)+SUMIF('Week4'!$A:$A,$A110,'Week4'!$D:$D)</f>
        <v/>
      </c>
      <c r="E110" s="7">
        <f>SUMIF('Week1'!$A:$A,$A110,'Week1'!$E:$E)+SUMIF('Week2'!$A:$A,$A110,'Week2'!$E:$E)+SUMIF('Week3'!$A:$A,$A110,'Week3'!$E:$E)+SUMIF('Week4'!$A:$A,$A110,'Week4'!$E:$E)</f>
        <v/>
      </c>
      <c r="F110" s="7">
        <f>SUMIF('Week1'!$A:$A,$A110,'Week1'!$F:$F)+SUMIF('Week2'!$A:$A,$A110,'Week2'!$F:$F)+SUMIF('Week3'!$A:$A,$A110,'Week3'!$F:$F)+SUMIF('Week4'!$A:$A,$A110,'Week4'!$F:$F)</f>
        <v/>
      </c>
      <c r="G110" s="7">
        <f>SUMIF('Week1'!$A:$A,$A110,'Week1'!$G:$G)+SUMIF('Week2'!$A:$A,$A110,'Week2'!$G:$G)+SUMIF('Week3'!$A:$A,$A110,'Week3'!$G:$G)+SUMIF('Week4'!$A:$A,$A110,'Week4'!$G:$G)</f>
        <v/>
      </c>
      <c r="H110" s="7">
        <f>SUMIF('Week1'!$A:$A,$A110,'Week1'!$H:$H)+SUMIF('Week2'!$A:$A,$A110,'Week2'!$H:$H)+SUMIF('Week3'!$A:$A,$A110,'Week3'!$H:$H)+SUMIF('Week4'!$A:$A,$A110,'Week4'!$H:$H)</f>
        <v/>
      </c>
      <c r="I110" s="7">
        <f>SUMIF('Week1'!$A:$A,$A110,'Week1'!$I:$I)+SUMIF('Week2'!$A:$A,$A110,'Week2'!$I:$I)+SUMIF('Week3'!$A:$A,$A110,'Week3'!$I:$I)+SUMIF('Week4'!$A:$A,$A110,'Week4'!$I:$I)</f>
        <v/>
      </c>
      <c r="J110" s="7">
        <f>SUMIF('Week1'!$A:$A,$A110,'Week1'!$J:$J)+SUMIF('Week2'!$A:$A,$A110,'Week2'!$J:$J)+SUMIF('Week3'!$A:$A,$A110,'Week3'!$J:$J)+SUMIF('Week4'!$A:$A,$A110,'Week4'!$J:$J)</f>
        <v/>
      </c>
      <c r="K110" s="7">
        <f>SUMIF('Week1'!$A:$A,$A110,'Week1'!$K:$K)+SUMIF('Week2'!$A:$A,$A110,'Week2'!$K:$K)+SUMIF('Week3'!$A:$A,$A110,'Week3'!$K:$K)+SUMIF('Week4'!$A:$A,$A110,'Week4'!$K:$K)</f>
        <v/>
      </c>
    </row>
    <row r="111">
      <c r="A111" s="6" t="inlineStr">
        <is>
          <t>DINESH NATU</t>
        </is>
      </c>
      <c r="B111" s="6" t="inlineStr">
        <is>
          <t>CLNR</t>
        </is>
      </c>
      <c r="C111" s="7" t="n">
        <v>750</v>
      </c>
      <c r="D111" s="7">
        <f>SUMIF('Week1'!$A:$A,$A111,'Week1'!$D:$D)+SUMIF('Week2'!$A:$A,$A111,'Week2'!$D:$D)+SUMIF('Week3'!$A:$A,$A111,'Week3'!$D:$D)+SUMIF('Week4'!$A:$A,$A111,'Week4'!$D:$D)</f>
        <v/>
      </c>
      <c r="E111" s="7">
        <f>SUMIF('Week1'!$A:$A,$A111,'Week1'!$E:$E)+SUMIF('Week2'!$A:$A,$A111,'Week2'!$E:$E)+SUMIF('Week3'!$A:$A,$A111,'Week3'!$E:$E)+SUMIF('Week4'!$A:$A,$A111,'Week4'!$E:$E)</f>
        <v/>
      </c>
      <c r="F111" s="7">
        <f>SUMIF('Week1'!$A:$A,$A111,'Week1'!$F:$F)+SUMIF('Week2'!$A:$A,$A111,'Week2'!$F:$F)+SUMIF('Week3'!$A:$A,$A111,'Week3'!$F:$F)+SUMIF('Week4'!$A:$A,$A111,'Week4'!$F:$F)</f>
        <v/>
      </c>
      <c r="G111" s="7">
        <f>SUMIF('Week1'!$A:$A,$A111,'Week1'!$G:$G)+SUMIF('Week2'!$A:$A,$A111,'Week2'!$G:$G)+SUMIF('Week3'!$A:$A,$A111,'Week3'!$G:$G)+SUMIF('Week4'!$A:$A,$A111,'Week4'!$G:$G)</f>
        <v/>
      </c>
      <c r="H111" s="7">
        <f>SUMIF('Week1'!$A:$A,$A111,'Week1'!$H:$H)+SUMIF('Week2'!$A:$A,$A111,'Week2'!$H:$H)+SUMIF('Week3'!$A:$A,$A111,'Week3'!$H:$H)+SUMIF('Week4'!$A:$A,$A111,'Week4'!$H:$H)</f>
        <v/>
      </c>
      <c r="I111" s="7">
        <f>SUMIF('Week1'!$A:$A,$A111,'Week1'!$I:$I)+SUMIF('Week2'!$A:$A,$A111,'Week2'!$I:$I)+SUMIF('Week3'!$A:$A,$A111,'Week3'!$I:$I)+SUMIF('Week4'!$A:$A,$A111,'Week4'!$I:$I)</f>
        <v/>
      </c>
      <c r="J111" s="7">
        <f>SUMIF('Week1'!$A:$A,$A111,'Week1'!$J:$J)+SUMIF('Week2'!$A:$A,$A111,'Week2'!$J:$J)+SUMIF('Week3'!$A:$A,$A111,'Week3'!$J:$J)+SUMIF('Week4'!$A:$A,$A111,'Week4'!$J:$J)</f>
        <v/>
      </c>
      <c r="K111" s="7">
        <f>SUMIF('Week1'!$A:$A,$A111,'Week1'!$K:$K)+SUMIF('Week2'!$A:$A,$A111,'Week2'!$K:$K)+SUMIF('Week3'!$A:$A,$A111,'Week3'!$K:$K)+SUMIF('Week4'!$A:$A,$A111,'Week4'!$K:$K)</f>
        <v/>
      </c>
    </row>
    <row r="112">
      <c r="A112" s="6" t="inlineStr">
        <is>
          <t>SAMJI NATU</t>
        </is>
      </c>
      <c r="B112" s="6" t="inlineStr">
        <is>
          <t>CLNR</t>
        </is>
      </c>
      <c r="C112" s="7" t="n">
        <v>579</v>
      </c>
      <c r="D112" s="7">
        <f>SUMIF('Week1'!$A:$A,$A112,'Week1'!$D:$D)+SUMIF('Week2'!$A:$A,$A112,'Week2'!$D:$D)+SUMIF('Week3'!$A:$A,$A112,'Week3'!$D:$D)+SUMIF('Week4'!$A:$A,$A112,'Week4'!$D:$D)</f>
        <v/>
      </c>
      <c r="E112" s="7">
        <f>SUMIF('Week1'!$A:$A,$A112,'Week1'!$E:$E)+SUMIF('Week2'!$A:$A,$A112,'Week2'!$E:$E)+SUMIF('Week3'!$A:$A,$A112,'Week3'!$E:$E)+SUMIF('Week4'!$A:$A,$A112,'Week4'!$E:$E)</f>
        <v/>
      </c>
      <c r="F112" s="7">
        <f>SUMIF('Week1'!$A:$A,$A112,'Week1'!$F:$F)+SUMIF('Week2'!$A:$A,$A112,'Week2'!$F:$F)+SUMIF('Week3'!$A:$A,$A112,'Week3'!$F:$F)+SUMIF('Week4'!$A:$A,$A112,'Week4'!$F:$F)</f>
        <v/>
      </c>
      <c r="G112" s="7">
        <f>SUMIF('Week1'!$A:$A,$A112,'Week1'!$G:$G)+SUMIF('Week2'!$A:$A,$A112,'Week2'!$G:$G)+SUMIF('Week3'!$A:$A,$A112,'Week3'!$G:$G)+SUMIF('Week4'!$A:$A,$A112,'Week4'!$G:$G)</f>
        <v/>
      </c>
      <c r="H112" s="7">
        <f>SUMIF('Week1'!$A:$A,$A112,'Week1'!$H:$H)+SUMIF('Week2'!$A:$A,$A112,'Week2'!$H:$H)+SUMIF('Week3'!$A:$A,$A112,'Week3'!$H:$H)+SUMIF('Week4'!$A:$A,$A112,'Week4'!$H:$H)</f>
        <v/>
      </c>
      <c r="I112" s="7">
        <f>SUMIF('Week1'!$A:$A,$A112,'Week1'!$I:$I)+SUMIF('Week2'!$A:$A,$A112,'Week2'!$I:$I)+SUMIF('Week3'!$A:$A,$A112,'Week3'!$I:$I)+SUMIF('Week4'!$A:$A,$A112,'Week4'!$I:$I)</f>
        <v/>
      </c>
      <c r="J112" s="7">
        <f>SUMIF('Week1'!$A:$A,$A112,'Week1'!$J:$J)+SUMIF('Week2'!$A:$A,$A112,'Week2'!$J:$J)+SUMIF('Week3'!$A:$A,$A112,'Week3'!$J:$J)+SUMIF('Week4'!$A:$A,$A112,'Week4'!$J:$J)</f>
        <v/>
      </c>
      <c r="K112" s="7">
        <f>SUMIF('Week1'!$A:$A,$A112,'Week1'!$K:$K)+SUMIF('Week2'!$A:$A,$A112,'Week2'!$K:$K)+SUMIF('Week3'!$A:$A,$A112,'Week3'!$K:$K)+SUMIF('Week4'!$A:$A,$A112,'Week4'!$K:$K)</f>
        <v/>
      </c>
    </row>
    <row r="113">
      <c r="A113" s="6" t="inlineStr">
        <is>
          <t>THEODORE TIRKEY</t>
        </is>
      </c>
      <c r="B113" s="6" t="inlineStr">
        <is>
          <t>CLNR</t>
        </is>
      </c>
      <c r="C113" s="7" t="n">
        <v>506</v>
      </c>
      <c r="D113" s="7">
        <f>SUMIF('Week1'!$A:$A,$A113,'Week1'!$D:$D)+SUMIF('Week2'!$A:$A,$A113,'Week2'!$D:$D)+SUMIF('Week3'!$A:$A,$A113,'Week3'!$D:$D)+SUMIF('Week4'!$A:$A,$A113,'Week4'!$D:$D)</f>
        <v/>
      </c>
      <c r="E113" s="7">
        <f>SUMIF('Week1'!$A:$A,$A113,'Week1'!$E:$E)+SUMIF('Week2'!$A:$A,$A113,'Week2'!$E:$E)+SUMIF('Week3'!$A:$A,$A113,'Week3'!$E:$E)+SUMIF('Week4'!$A:$A,$A113,'Week4'!$E:$E)</f>
        <v/>
      </c>
      <c r="F113" s="7">
        <f>SUMIF('Week1'!$A:$A,$A113,'Week1'!$F:$F)+SUMIF('Week2'!$A:$A,$A113,'Week2'!$F:$F)+SUMIF('Week3'!$A:$A,$A113,'Week3'!$F:$F)+SUMIF('Week4'!$A:$A,$A113,'Week4'!$F:$F)</f>
        <v/>
      </c>
      <c r="G113" s="7">
        <f>SUMIF('Week1'!$A:$A,$A113,'Week1'!$G:$G)+SUMIF('Week2'!$A:$A,$A113,'Week2'!$G:$G)+SUMIF('Week3'!$A:$A,$A113,'Week3'!$G:$G)+SUMIF('Week4'!$A:$A,$A113,'Week4'!$G:$G)</f>
        <v/>
      </c>
      <c r="H113" s="7">
        <f>SUMIF('Week1'!$A:$A,$A113,'Week1'!$H:$H)+SUMIF('Week2'!$A:$A,$A113,'Week2'!$H:$H)+SUMIF('Week3'!$A:$A,$A113,'Week3'!$H:$H)+SUMIF('Week4'!$A:$A,$A113,'Week4'!$H:$H)</f>
        <v/>
      </c>
      <c r="I113" s="7">
        <f>SUMIF('Week1'!$A:$A,$A113,'Week1'!$I:$I)+SUMIF('Week2'!$A:$A,$A113,'Week2'!$I:$I)+SUMIF('Week3'!$A:$A,$A113,'Week3'!$I:$I)+SUMIF('Week4'!$A:$A,$A113,'Week4'!$I:$I)</f>
        <v/>
      </c>
      <c r="J113" s="7">
        <f>SUMIF('Week1'!$A:$A,$A113,'Week1'!$J:$J)+SUMIF('Week2'!$A:$A,$A113,'Week2'!$J:$J)+SUMIF('Week3'!$A:$A,$A113,'Week3'!$J:$J)+SUMIF('Week4'!$A:$A,$A113,'Week4'!$J:$J)</f>
        <v/>
      </c>
      <c r="K113" s="7">
        <f>SUMIF('Week1'!$A:$A,$A113,'Week1'!$K:$K)+SUMIF('Week2'!$A:$A,$A113,'Week2'!$K:$K)+SUMIF('Week3'!$A:$A,$A113,'Week3'!$K:$K)+SUMIF('Week4'!$A:$A,$A113,'Week4'!$K:$K)</f>
        <v/>
      </c>
    </row>
    <row r="114">
      <c r="A114" s="6" t="inlineStr">
        <is>
          <t>UMESH VINAYCHANDRA</t>
        </is>
      </c>
      <c r="B114" s="6" t="inlineStr">
        <is>
          <t>DPCH</t>
        </is>
      </c>
      <c r="C114" s="7" t="n">
        <v>426</v>
      </c>
      <c r="D114" s="7">
        <f>SUMIF('Week1'!$A:$A,$A114,'Week1'!$D:$D)+SUMIF('Week2'!$A:$A,$A114,'Week2'!$D:$D)+SUMIF('Week3'!$A:$A,$A114,'Week3'!$D:$D)+SUMIF('Week4'!$A:$A,$A114,'Week4'!$D:$D)</f>
        <v/>
      </c>
      <c r="E114" s="7">
        <f>SUMIF('Week1'!$A:$A,$A114,'Week1'!$E:$E)+SUMIF('Week2'!$A:$A,$A114,'Week2'!$E:$E)+SUMIF('Week3'!$A:$A,$A114,'Week3'!$E:$E)+SUMIF('Week4'!$A:$A,$A114,'Week4'!$E:$E)</f>
        <v/>
      </c>
      <c r="F114" s="7">
        <f>SUMIF('Week1'!$A:$A,$A114,'Week1'!$F:$F)+SUMIF('Week2'!$A:$A,$A114,'Week2'!$F:$F)+SUMIF('Week3'!$A:$A,$A114,'Week3'!$F:$F)+SUMIF('Week4'!$A:$A,$A114,'Week4'!$F:$F)</f>
        <v/>
      </c>
      <c r="G114" s="7">
        <f>SUMIF('Week1'!$A:$A,$A114,'Week1'!$G:$G)+SUMIF('Week2'!$A:$A,$A114,'Week2'!$G:$G)+SUMIF('Week3'!$A:$A,$A114,'Week3'!$G:$G)+SUMIF('Week4'!$A:$A,$A114,'Week4'!$G:$G)</f>
        <v/>
      </c>
      <c r="H114" s="7">
        <f>SUMIF('Week1'!$A:$A,$A114,'Week1'!$H:$H)+SUMIF('Week2'!$A:$A,$A114,'Week2'!$H:$H)+SUMIF('Week3'!$A:$A,$A114,'Week3'!$H:$H)+SUMIF('Week4'!$A:$A,$A114,'Week4'!$H:$H)</f>
        <v/>
      </c>
      <c r="I114" s="7">
        <f>SUMIF('Week1'!$A:$A,$A114,'Week1'!$I:$I)+SUMIF('Week2'!$A:$A,$A114,'Week2'!$I:$I)+SUMIF('Week3'!$A:$A,$A114,'Week3'!$I:$I)+SUMIF('Week4'!$A:$A,$A114,'Week4'!$I:$I)</f>
        <v/>
      </c>
      <c r="J114" s="7">
        <f>SUMIF('Week1'!$A:$A,$A114,'Week1'!$J:$J)+SUMIF('Week2'!$A:$A,$A114,'Week2'!$J:$J)+SUMIF('Week3'!$A:$A,$A114,'Week3'!$J:$J)+SUMIF('Week4'!$A:$A,$A114,'Week4'!$J:$J)</f>
        <v/>
      </c>
      <c r="K114" s="7">
        <f>SUMIF('Week1'!$A:$A,$A114,'Week1'!$K:$K)+SUMIF('Week2'!$A:$A,$A114,'Week2'!$K:$K)+SUMIF('Week3'!$A:$A,$A114,'Week3'!$K:$K)+SUMIF('Week4'!$A:$A,$A114,'Week4'!$K:$K)</f>
        <v/>
      </c>
    </row>
    <row r="115">
      <c r="A115" s="6" t="inlineStr">
        <is>
          <t>SANJAY BHIMJI VAGADIYA</t>
        </is>
      </c>
      <c r="B115" s="6" t="inlineStr">
        <is>
          <t>OFCE</t>
        </is>
      </c>
      <c r="C115" s="7" t="n">
        <v>749</v>
      </c>
      <c r="D115" s="7">
        <f>SUMIF('Week1'!$A:$A,$A115,'Week1'!$D:$D)+SUMIF('Week2'!$A:$A,$A115,'Week2'!$D:$D)+SUMIF('Week3'!$A:$A,$A115,'Week3'!$D:$D)+SUMIF('Week4'!$A:$A,$A115,'Week4'!$D:$D)</f>
        <v/>
      </c>
      <c r="E115" s="7">
        <f>SUMIF('Week1'!$A:$A,$A115,'Week1'!$E:$E)+SUMIF('Week2'!$A:$A,$A115,'Week2'!$E:$E)+SUMIF('Week3'!$A:$A,$A115,'Week3'!$E:$E)+SUMIF('Week4'!$A:$A,$A115,'Week4'!$E:$E)</f>
        <v/>
      </c>
      <c r="F115" s="7">
        <f>SUMIF('Week1'!$A:$A,$A115,'Week1'!$F:$F)+SUMIF('Week2'!$A:$A,$A115,'Week2'!$F:$F)+SUMIF('Week3'!$A:$A,$A115,'Week3'!$F:$F)+SUMIF('Week4'!$A:$A,$A115,'Week4'!$F:$F)</f>
        <v/>
      </c>
      <c r="G115" s="7">
        <f>SUMIF('Week1'!$A:$A,$A115,'Week1'!$G:$G)+SUMIF('Week2'!$A:$A,$A115,'Week2'!$G:$G)+SUMIF('Week3'!$A:$A,$A115,'Week3'!$G:$G)+SUMIF('Week4'!$A:$A,$A115,'Week4'!$G:$G)</f>
        <v/>
      </c>
      <c r="H115" s="7">
        <f>SUMIF('Week1'!$A:$A,$A115,'Week1'!$H:$H)+SUMIF('Week2'!$A:$A,$A115,'Week2'!$H:$H)+SUMIF('Week3'!$A:$A,$A115,'Week3'!$H:$H)+SUMIF('Week4'!$A:$A,$A115,'Week4'!$H:$H)</f>
        <v/>
      </c>
      <c r="I115" s="7">
        <f>SUMIF('Week1'!$A:$A,$A115,'Week1'!$I:$I)+SUMIF('Week2'!$A:$A,$A115,'Week2'!$I:$I)+SUMIF('Week3'!$A:$A,$A115,'Week3'!$I:$I)+SUMIF('Week4'!$A:$A,$A115,'Week4'!$I:$I)</f>
        <v/>
      </c>
      <c r="J115" s="7">
        <f>SUMIF('Week1'!$A:$A,$A115,'Week1'!$J:$J)+SUMIF('Week2'!$A:$A,$A115,'Week2'!$J:$J)+SUMIF('Week3'!$A:$A,$A115,'Week3'!$J:$J)+SUMIF('Week4'!$A:$A,$A115,'Week4'!$J:$J)</f>
        <v/>
      </c>
      <c r="K115" s="7">
        <f>SUMIF('Week1'!$A:$A,$A115,'Week1'!$K:$K)+SUMIF('Week2'!$A:$A,$A115,'Week2'!$K:$K)+SUMIF('Week3'!$A:$A,$A115,'Week3'!$K:$K)+SUMIF('Week4'!$A:$A,$A115,'Week4'!$K:$K)</f>
        <v/>
      </c>
    </row>
    <row r="116">
      <c r="A116" s="6" t="inlineStr">
        <is>
          <t>BELAYNEH DIKER</t>
        </is>
      </c>
      <c r="B116" s="6" t="inlineStr">
        <is>
          <t>OFCE</t>
        </is>
      </c>
      <c r="C116" s="7" t="n">
        <v>747</v>
      </c>
      <c r="D116" s="7">
        <f>SUMIF('Week1'!$A:$A,$A116,'Week1'!$D:$D)+SUMIF('Week2'!$A:$A,$A116,'Week2'!$D:$D)+SUMIF('Week3'!$A:$A,$A116,'Week3'!$D:$D)+SUMIF('Week4'!$A:$A,$A116,'Week4'!$D:$D)</f>
        <v/>
      </c>
      <c r="E116" s="7">
        <f>SUMIF('Week1'!$A:$A,$A116,'Week1'!$E:$E)+SUMIF('Week2'!$A:$A,$A116,'Week2'!$E:$E)+SUMIF('Week3'!$A:$A,$A116,'Week3'!$E:$E)+SUMIF('Week4'!$A:$A,$A116,'Week4'!$E:$E)</f>
        <v/>
      </c>
      <c r="F116" s="7">
        <f>SUMIF('Week1'!$A:$A,$A116,'Week1'!$F:$F)+SUMIF('Week2'!$A:$A,$A116,'Week2'!$F:$F)+SUMIF('Week3'!$A:$A,$A116,'Week3'!$F:$F)+SUMIF('Week4'!$A:$A,$A116,'Week4'!$F:$F)</f>
        <v/>
      </c>
      <c r="G116" s="7">
        <f>SUMIF('Week1'!$A:$A,$A116,'Week1'!$G:$G)+SUMIF('Week2'!$A:$A,$A116,'Week2'!$G:$G)+SUMIF('Week3'!$A:$A,$A116,'Week3'!$G:$G)+SUMIF('Week4'!$A:$A,$A116,'Week4'!$G:$G)</f>
        <v/>
      </c>
      <c r="H116" s="7">
        <f>SUMIF('Week1'!$A:$A,$A116,'Week1'!$H:$H)+SUMIF('Week2'!$A:$A,$A116,'Week2'!$H:$H)+SUMIF('Week3'!$A:$A,$A116,'Week3'!$H:$H)+SUMIF('Week4'!$A:$A,$A116,'Week4'!$H:$H)</f>
        <v/>
      </c>
      <c r="I116" s="7">
        <f>SUMIF('Week1'!$A:$A,$A116,'Week1'!$I:$I)+SUMIF('Week2'!$A:$A,$A116,'Week2'!$I:$I)+SUMIF('Week3'!$A:$A,$A116,'Week3'!$I:$I)+SUMIF('Week4'!$A:$A,$A116,'Week4'!$I:$I)</f>
        <v/>
      </c>
      <c r="J116" s="7">
        <f>SUMIF('Week1'!$A:$A,$A116,'Week1'!$J:$J)+SUMIF('Week2'!$A:$A,$A116,'Week2'!$J:$J)+SUMIF('Week3'!$A:$A,$A116,'Week3'!$J:$J)+SUMIF('Week4'!$A:$A,$A116,'Week4'!$J:$J)</f>
        <v/>
      </c>
      <c r="K116" s="7">
        <f>SUMIF('Week1'!$A:$A,$A116,'Week1'!$K:$K)+SUMIF('Week2'!$A:$A,$A116,'Week2'!$K:$K)+SUMIF('Week3'!$A:$A,$A116,'Week3'!$K:$K)+SUMIF('Week4'!$A:$A,$A116,'Week4'!$K:$K)</f>
        <v/>
      </c>
    </row>
    <row r="117">
      <c r="A117" s="6" t="inlineStr">
        <is>
          <t>UTSAV GOHEL</t>
        </is>
      </c>
      <c r="B117" s="6" t="inlineStr">
        <is>
          <t>OFCE</t>
        </is>
      </c>
      <c r="C117" s="7" t="n">
        <v>691</v>
      </c>
      <c r="D117" s="7">
        <f>SUMIF('Week1'!$A:$A,$A117,'Week1'!$D:$D)+SUMIF('Week2'!$A:$A,$A117,'Week2'!$D:$D)+SUMIF('Week3'!$A:$A,$A117,'Week3'!$D:$D)+SUMIF('Week4'!$A:$A,$A117,'Week4'!$D:$D)</f>
        <v/>
      </c>
      <c r="E117" s="7">
        <f>SUMIF('Week1'!$A:$A,$A117,'Week1'!$E:$E)+SUMIF('Week2'!$A:$A,$A117,'Week2'!$E:$E)+SUMIF('Week3'!$A:$A,$A117,'Week3'!$E:$E)+SUMIF('Week4'!$A:$A,$A117,'Week4'!$E:$E)</f>
        <v/>
      </c>
      <c r="F117" s="7">
        <f>SUMIF('Week1'!$A:$A,$A117,'Week1'!$F:$F)+SUMIF('Week2'!$A:$A,$A117,'Week2'!$F:$F)+SUMIF('Week3'!$A:$A,$A117,'Week3'!$F:$F)+SUMIF('Week4'!$A:$A,$A117,'Week4'!$F:$F)</f>
        <v/>
      </c>
      <c r="G117" s="7">
        <f>SUMIF('Week1'!$A:$A,$A117,'Week1'!$G:$G)+SUMIF('Week2'!$A:$A,$A117,'Week2'!$G:$G)+SUMIF('Week3'!$A:$A,$A117,'Week3'!$G:$G)+SUMIF('Week4'!$A:$A,$A117,'Week4'!$G:$G)</f>
        <v/>
      </c>
      <c r="H117" s="7">
        <f>SUMIF('Week1'!$A:$A,$A117,'Week1'!$H:$H)+SUMIF('Week2'!$A:$A,$A117,'Week2'!$H:$H)+SUMIF('Week3'!$A:$A,$A117,'Week3'!$H:$H)+SUMIF('Week4'!$A:$A,$A117,'Week4'!$H:$H)</f>
        <v/>
      </c>
      <c r="I117" s="7">
        <f>SUMIF('Week1'!$A:$A,$A117,'Week1'!$I:$I)+SUMIF('Week2'!$A:$A,$A117,'Week2'!$I:$I)+SUMIF('Week3'!$A:$A,$A117,'Week3'!$I:$I)+SUMIF('Week4'!$A:$A,$A117,'Week4'!$I:$I)</f>
        <v/>
      </c>
      <c r="J117" s="7">
        <f>SUMIF('Week1'!$A:$A,$A117,'Week1'!$J:$J)+SUMIF('Week2'!$A:$A,$A117,'Week2'!$J:$J)+SUMIF('Week3'!$A:$A,$A117,'Week3'!$J:$J)+SUMIF('Week4'!$A:$A,$A117,'Week4'!$J:$J)</f>
        <v/>
      </c>
      <c r="K117" s="7">
        <f>SUMIF('Week1'!$A:$A,$A117,'Week1'!$K:$K)+SUMIF('Week2'!$A:$A,$A117,'Week2'!$K:$K)+SUMIF('Week3'!$A:$A,$A117,'Week3'!$K:$K)+SUMIF('Week4'!$A:$A,$A117,'Week4'!$K:$K)</f>
        <v/>
      </c>
    </row>
    <row r="118">
      <c r="A118" s="6" t="inlineStr">
        <is>
          <t>PANKAJ MALIK</t>
        </is>
      </c>
      <c r="B118" s="6" t="inlineStr">
        <is>
          <t>OFCE</t>
        </is>
      </c>
      <c r="C118" s="7" t="n">
        <v>679</v>
      </c>
      <c r="D118" s="7">
        <f>SUMIF('Week1'!$A:$A,$A118,'Week1'!$D:$D)+SUMIF('Week2'!$A:$A,$A118,'Week2'!$D:$D)+SUMIF('Week3'!$A:$A,$A118,'Week3'!$D:$D)+SUMIF('Week4'!$A:$A,$A118,'Week4'!$D:$D)</f>
        <v/>
      </c>
      <c r="E118" s="7">
        <f>SUMIF('Week1'!$A:$A,$A118,'Week1'!$E:$E)+SUMIF('Week2'!$A:$A,$A118,'Week2'!$E:$E)+SUMIF('Week3'!$A:$A,$A118,'Week3'!$E:$E)+SUMIF('Week4'!$A:$A,$A118,'Week4'!$E:$E)</f>
        <v/>
      </c>
      <c r="F118" s="7">
        <f>SUMIF('Week1'!$A:$A,$A118,'Week1'!$F:$F)+SUMIF('Week2'!$A:$A,$A118,'Week2'!$F:$F)+SUMIF('Week3'!$A:$A,$A118,'Week3'!$F:$F)+SUMIF('Week4'!$A:$A,$A118,'Week4'!$F:$F)</f>
        <v/>
      </c>
      <c r="G118" s="7">
        <f>SUMIF('Week1'!$A:$A,$A118,'Week1'!$G:$G)+SUMIF('Week2'!$A:$A,$A118,'Week2'!$G:$G)+SUMIF('Week3'!$A:$A,$A118,'Week3'!$G:$G)+SUMIF('Week4'!$A:$A,$A118,'Week4'!$G:$G)</f>
        <v/>
      </c>
      <c r="H118" s="7">
        <f>SUMIF('Week1'!$A:$A,$A118,'Week1'!$H:$H)+SUMIF('Week2'!$A:$A,$A118,'Week2'!$H:$H)+SUMIF('Week3'!$A:$A,$A118,'Week3'!$H:$H)+SUMIF('Week4'!$A:$A,$A118,'Week4'!$H:$H)</f>
        <v/>
      </c>
      <c r="I118" s="7">
        <f>SUMIF('Week1'!$A:$A,$A118,'Week1'!$I:$I)+SUMIF('Week2'!$A:$A,$A118,'Week2'!$I:$I)+SUMIF('Week3'!$A:$A,$A118,'Week3'!$I:$I)+SUMIF('Week4'!$A:$A,$A118,'Week4'!$I:$I)</f>
        <v/>
      </c>
      <c r="J118" s="7">
        <f>SUMIF('Week1'!$A:$A,$A118,'Week1'!$J:$J)+SUMIF('Week2'!$A:$A,$A118,'Week2'!$J:$J)+SUMIF('Week3'!$A:$A,$A118,'Week3'!$J:$J)+SUMIF('Week4'!$A:$A,$A118,'Week4'!$J:$J)</f>
        <v/>
      </c>
      <c r="K118" s="7">
        <f>SUMIF('Week1'!$A:$A,$A118,'Week1'!$K:$K)+SUMIF('Week2'!$A:$A,$A118,'Week2'!$K:$K)+SUMIF('Week3'!$A:$A,$A118,'Week3'!$K:$K)+SUMIF('Week4'!$A:$A,$A118,'Week4'!$K:$K)</f>
        <v/>
      </c>
    </row>
    <row r="119">
      <c r="A119" s="6" t="inlineStr">
        <is>
          <t>PRIYANKA PANDHARIPANDE</t>
        </is>
      </c>
      <c r="B119" s="6" t="inlineStr">
        <is>
          <t>OFCE</t>
        </is>
      </c>
      <c r="C119" s="7" t="n">
        <v>660</v>
      </c>
      <c r="D119" s="7">
        <f>SUMIF('Week1'!$A:$A,$A119,'Week1'!$D:$D)+SUMIF('Week2'!$A:$A,$A119,'Week2'!$D:$D)+SUMIF('Week3'!$A:$A,$A119,'Week3'!$D:$D)+SUMIF('Week4'!$A:$A,$A119,'Week4'!$D:$D)</f>
        <v/>
      </c>
      <c r="E119" s="7">
        <f>SUMIF('Week1'!$A:$A,$A119,'Week1'!$E:$E)+SUMIF('Week2'!$A:$A,$A119,'Week2'!$E:$E)+SUMIF('Week3'!$A:$A,$A119,'Week3'!$E:$E)+SUMIF('Week4'!$A:$A,$A119,'Week4'!$E:$E)</f>
        <v/>
      </c>
      <c r="F119" s="7">
        <f>SUMIF('Week1'!$A:$A,$A119,'Week1'!$F:$F)+SUMIF('Week2'!$A:$A,$A119,'Week2'!$F:$F)+SUMIF('Week3'!$A:$A,$A119,'Week3'!$F:$F)+SUMIF('Week4'!$A:$A,$A119,'Week4'!$F:$F)</f>
        <v/>
      </c>
      <c r="G119" s="7">
        <f>SUMIF('Week1'!$A:$A,$A119,'Week1'!$G:$G)+SUMIF('Week2'!$A:$A,$A119,'Week2'!$G:$G)+SUMIF('Week3'!$A:$A,$A119,'Week3'!$G:$G)+SUMIF('Week4'!$A:$A,$A119,'Week4'!$G:$G)</f>
        <v/>
      </c>
      <c r="H119" s="7">
        <f>SUMIF('Week1'!$A:$A,$A119,'Week1'!$H:$H)+SUMIF('Week2'!$A:$A,$A119,'Week2'!$H:$H)+SUMIF('Week3'!$A:$A,$A119,'Week3'!$H:$H)+SUMIF('Week4'!$A:$A,$A119,'Week4'!$H:$H)</f>
        <v/>
      </c>
      <c r="I119" s="7">
        <f>SUMIF('Week1'!$A:$A,$A119,'Week1'!$I:$I)+SUMIF('Week2'!$A:$A,$A119,'Week2'!$I:$I)+SUMIF('Week3'!$A:$A,$A119,'Week3'!$I:$I)+SUMIF('Week4'!$A:$A,$A119,'Week4'!$I:$I)</f>
        <v/>
      </c>
      <c r="J119" s="7">
        <f>SUMIF('Week1'!$A:$A,$A119,'Week1'!$J:$J)+SUMIF('Week2'!$A:$A,$A119,'Week2'!$J:$J)+SUMIF('Week3'!$A:$A,$A119,'Week3'!$J:$J)+SUMIF('Week4'!$A:$A,$A119,'Week4'!$J:$J)</f>
        <v/>
      </c>
      <c r="K119" s="7">
        <f>SUMIF('Week1'!$A:$A,$A119,'Week1'!$K:$K)+SUMIF('Week2'!$A:$A,$A119,'Week2'!$K:$K)+SUMIF('Week3'!$A:$A,$A119,'Week3'!$K:$K)+SUMIF('Week4'!$A:$A,$A119,'Week4'!$K:$K)</f>
        <v/>
      </c>
    </row>
    <row r="120">
      <c r="A120" s="6" t="inlineStr">
        <is>
          <t>APARUP PODDER</t>
        </is>
      </c>
      <c r="B120" s="6" t="inlineStr">
        <is>
          <t>OFCE</t>
        </is>
      </c>
      <c r="C120" s="7" t="n">
        <v>754</v>
      </c>
      <c r="D120" s="7">
        <f>SUMIF('Week1'!$A:$A,$A120,'Week1'!$D:$D)+SUMIF('Week2'!$A:$A,$A120,'Week2'!$D:$D)+SUMIF('Week3'!$A:$A,$A120,'Week3'!$D:$D)+SUMIF('Week4'!$A:$A,$A120,'Week4'!$D:$D)</f>
        <v/>
      </c>
      <c r="E120" s="7">
        <f>SUMIF('Week1'!$A:$A,$A120,'Week1'!$E:$E)+SUMIF('Week2'!$A:$A,$A120,'Week2'!$E:$E)+SUMIF('Week3'!$A:$A,$A120,'Week3'!$E:$E)+SUMIF('Week4'!$A:$A,$A120,'Week4'!$E:$E)</f>
        <v/>
      </c>
      <c r="F120" s="7">
        <f>SUMIF('Week1'!$A:$A,$A120,'Week1'!$F:$F)+SUMIF('Week2'!$A:$A,$A120,'Week2'!$F:$F)+SUMIF('Week3'!$A:$A,$A120,'Week3'!$F:$F)+SUMIF('Week4'!$A:$A,$A120,'Week4'!$F:$F)</f>
        <v/>
      </c>
      <c r="G120" s="7">
        <f>SUMIF('Week1'!$A:$A,$A120,'Week1'!$G:$G)+SUMIF('Week2'!$A:$A,$A120,'Week2'!$G:$G)+SUMIF('Week3'!$A:$A,$A120,'Week3'!$G:$G)+SUMIF('Week4'!$A:$A,$A120,'Week4'!$G:$G)</f>
        <v/>
      </c>
      <c r="H120" s="7">
        <f>SUMIF('Week1'!$A:$A,$A120,'Week1'!$H:$H)+SUMIF('Week2'!$A:$A,$A120,'Week2'!$H:$H)+SUMIF('Week3'!$A:$A,$A120,'Week3'!$H:$H)+SUMIF('Week4'!$A:$A,$A120,'Week4'!$H:$H)</f>
        <v/>
      </c>
      <c r="I120" s="7">
        <f>SUMIF('Week1'!$A:$A,$A120,'Week1'!$I:$I)+SUMIF('Week2'!$A:$A,$A120,'Week2'!$I:$I)+SUMIF('Week3'!$A:$A,$A120,'Week3'!$I:$I)+SUMIF('Week4'!$A:$A,$A120,'Week4'!$I:$I)</f>
        <v/>
      </c>
      <c r="J120" s="7">
        <f>SUMIF('Week1'!$A:$A,$A120,'Week1'!$J:$J)+SUMIF('Week2'!$A:$A,$A120,'Week2'!$J:$J)+SUMIF('Week3'!$A:$A,$A120,'Week3'!$J:$J)+SUMIF('Week4'!$A:$A,$A120,'Week4'!$J:$J)</f>
        <v/>
      </c>
      <c r="K120" s="7">
        <f>SUMIF('Week1'!$A:$A,$A120,'Week1'!$K:$K)+SUMIF('Week2'!$A:$A,$A120,'Week2'!$K:$K)+SUMIF('Week3'!$A:$A,$A120,'Week3'!$K:$K)+SUMIF('Week4'!$A:$A,$A120,'Week4'!$K:$K)</f>
        <v/>
      </c>
    </row>
    <row r="121">
      <c r="A121" s="6" t="inlineStr">
        <is>
          <t>LOURENCO PEREIRA</t>
        </is>
      </c>
      <c r="B121" s="6" t="inlineStr">
        <is>
          <t>PROD PREPARATION</t>
        </is>
      </c>
      <c r="C121" s="7" t="n">
        <v>583</v>
      </c>
      <c r="D121" s="7">
        <f>SUMIF('Week1'!$A:$A,$A121,'Week1'!$D:$D)+SUMIF('Week2'!$A:$A,$A121,'Week2'!$D:$D)+SUMIF('Week3'!$A:$A,$A121,'Week3'!$D:$D)+SUMIF('Week4'!$A:$A,$A121,'Week4'!$D:$D)</f>
        <v/>
      </c>
      <c r="E121" s="7">
        <f>SUMIF('Week1'!$A:$A,$A121,'Week1'!$E:$E)+SUMIF('Week2'!$A:$A,$A121,'Week2'!$E:$E)+SUMIF('Week3'!$A:$A,$A121,'Week3'!$E:$E)+SUMIF('Week4'!$A:$A,$A121,'Week4'!$E:$E)</f>
        <v/>
      </c>
      <c r="F121" s="7">
        <f>SUMIF('Week1'!$A:$A,$A121,'Week1'!$F:$F)+SUMIF('Week2'!$A:$A,$A121,'Week2'!$F:$F)+SUMIF('Week3'!$A:$A,$A121,'Week3'!$F:$F)+SUMIF('Week4'!$A:$A,$A121,'Week4'!$F:$F)</f>
        <v/>
      </c>
      <c r="G121" s="7">
        <f>SUMIF('Week1'!$A:$A,$A121,'Week1'!$G:$G)+SUMIF('Week2'!$A:$A,$A121,'Week2'!$G:$G)+SUMIF('Week3'!$A:$A,$A121,'Week3'!$G:$G)+SUMIF('Week4'!$A:$A,$A121,'Week4'!$G:$G)</f>
        <v/>
      </c>
      <c r="H121" s="7">
        <f>SUMIF('Week1'!$A:$A,$A121,'Week1'!$H:$H)+SUMIF('Week2'!$A:$A,$A121,'Week2'!$H:$H)+SUMIF('Week3'!$A:$A,$A121,'Week3'!$H:$H)+SUMIF('Week4'!$A:$A,$A121,'Week4'!$H:$H)</f>
        <v/>
      </c>
      <c r="I121" s="7">
        <f>SUMIF('Week1'!$A:$A,$A121,'Week1'!$I:$I)+SUMIF('Week2'!$A:$A,$A121,'Week2'!$I:$I)+SUMIF('Week3'!$A:$A,$A121,'Week3'!$I:$I)+SUMIF('Week4'!$A:$A,$A121,'Week4'!$I:$I)</f>
        <v/>
      </c>
      <c r="J121" s="7">
        <f>SUMIF('Week1'!$A:$A,$A121,'Week1'!$J:$J)+SUMIF('Week2'!$A:$A,$A121,'Week2'!$J:$J)+SUMIF('Week3'!$A:$A,$A121,'Week3'!$J:$J)+SUMIF('Week4'!$A:$A,$A121,'Week4'!$J:$J)</f>
        <v/>
      </c>
      <c r="K121" s="7">
        <f>SUMIF('Week1'!$A:$A,$A121,'Week1'!$K:$K)+SUMIF('Week2'!$A:$A,$A121,'Week2'!$K:$K)+SUMIF('Week3'!$A:$A,$A121,'Week3'!$K:$K)+SUMIF('Week4'!$A:$A,$A121,'Week4'!$K:$K)</f>
        <v/>
      </c>
    </row>
    <row r="122">
      <c r="A122" s="6" t="inlineStr">
        <is>
          <t>PRIYANKA RAMNIK</t>
        </is>
      </c>
      <c r="B122" s="6" t="inlineStr">
        <is>
          <t>OFCE</t>
        </is>
      </c>
      <c r="C122" s="7" t="n">
        <v>753</v>
      </c>
      <c r="D122" s="7">
        <f>SUMIF('Week1'!$A:$A,$A122,'Week1'!$D:$D)+SUMIF('Week2'!$A:$A,$A122,'Week2'!$D:$D)+SUMIF('Week3'!$A:$A,$A122,'Week3'!$D:$D)+SUMIF('Week4'!$A:$A,$A122,'Week4'!$D:$D)</f>
        <v/>
      </c>
      <c r="E122" s="7">
        <f>SUMIF('Week1'!$A:$A,$A122,'Week1'!$E:$E)+SUMIF('Week2'!$A:$A,$A122,'Week2'!$E:$E)+SUMIF('Week3'!$A:$A,$A122,'Week3'!$E:$E)+SUMIF('Week4'!$A:$A,$A122,'Week4'!$E:$E)</f>
        <v/>
      </c>
      <c r="F122" s="7">
        <f>SUMIF('Week1'!$A:$A,$A122,'Week1'!$F:$F)+SUMIF('Week2'!$A:$A,$A122,'Week2'!$F:$F)+SUMIF('Week3'!$A:$A,$A122,'Week3'!$F:$F)+SUMIF('Week4'!$A:$A,$A122,'Week4'!$F:$F)</f>
        <v/>
      </c>
      <c r="G122" s="7">
        <f>SUMIF('Week1'!$A:$A,$A122,'Week1'!$G:$G)+SUMIF('Week2'!$A:$A,$A122,'Week2'!$G:$G)+SUMIF('Week3'!$A:$A,$A122,'Week3'!$G:$G)+SUMIF('Week4'!$A:$A,$A122,'Week4'!$G:$G)</f>
        <v/>
      </c>
      <c r="H122" s="7">
        <f>SUMIF('Week1'!$A:$A,$A122,'Week1'!$H:$H)+SUMIF('Week2'!$A:$A,$A122,'Week2'!$H:$H)+SUMIF('Week3'!$A:$A,$A122,'Week3'!$H:$H)+SUMIF('Week4'!$A:$A,$A122,'Week4'!$H:$H)</f>
        <v/>
      </c>
      <c r="I122" s="7">
        <f>SUMIF('Week1'!$A:$A,$A122,'Week1'!$I:$I)+SUMIF('Week2'!$A:$A,$A122,'Week2'!$I:$I)+SUMIF('Week3'!$A:$A,$A122,'Week3'!$I:$I)+SUMIF('Week4'!$A:$A,$A122,'Week4'!$I:$I)</f>
        <v/>
      </c>
      <c r="J122" s="7">
        <f>SUMIF('Week1'!$A:$A,$A122,'Week1'!$J:$J)+SUMIF('Week2'!$A:$A,$A122,'Week2'!$J:$J)+SUMIF('Week3'!$A:$A,$A122,'Week3'!$J:$J)+SUMIF('Week4'!$A:$A,$A122,'Week4'!$J:$J)</f>
        <v/>
      </c>
      <c r="K122" s="7">
        <f>SUMIF('Week1'!$A:$A,$A122,'Week1'!$K:$K)+SUMIF('Week2'!$A:$A,$A122,'Week2'!$K:$K)+SUMIF('Week3'!$A:$A,$A122,'Week3'!$K:$K)+SUMIF('Week4'!$A:$A,$A122,'Week4'!$K:$K)</f>
        <v/>
      </c>
    </row>
    <row r="123">
      <c r="A123" s="6" t="inlineStr">
        <is>
          <t>AMIT RATHOD</t>
        </is>
      </c>
      <c r="B123" s="6" t="inlineStr">
        <is>
          <t>OFCE</t>
        </is>
      </c>
      <c r="C123" s="7" t="n">
        <v>369</v>
      </c>
      <c r="D123" s="7">
        <f>SUMIF('Week1'!$A:$A,$A123,'Week1'!$D:$D)+SUMIF('Week2'!$A:$A,$A123,'Week2'!$D:$D)+SUMIF('Week3'!$A:$A,$A123,'Week3'!$D:$D)+SUMIF('Week4'!$A:$A,$A123,'Week4'!$D:$D)</f>
        <v/>
      </c>
      <c r="E123" s="7">
        <f>SUMIF('Week1'!$A:$A,$A123,'Week1'!$E:$E)+SUMIF('Week2'!$A:$A,$A123,'Week2'!$E:$E)+SUMIF('Week3'!$A:$A,$A123,'Week3'!$E:$E)+SUMIF('Week4'!$A:$A,$A123,'Week4'!$E:$E)</f>
        <v/>
      </c>
      <c r="F123" s="7">
        <f>SUMIF('Week1'!$A:$A,$A123,'Week1'!$F:$F)+SUMIF('Week2'!$A:$A,$A123,'Week2'!$F:$F)+SUMIF('Week3'!$A:$A,$A123,'Week3'!$F:$F)+SUMIF('Week4'!$A:$A,$A123,'Week4'!$F:$F)</f>
        <v/>
      </c>
      <c r="G123" s="7">
        <f>SUMIF('Week1'!$A:$A,$A123,'Week1'!$G:$G)+SUMIF('Week2'!$A:$A,$A123,'Week2'!$G:$G)+SUMIF('Week3'!$A:$A,$A123,'Week3'!$G:$G)+SUMIF('Week4'!$A:$A,$A123,'Week4'!$G:$G)</f>
        <v/>
      </c>
      <c r="H123" s="7">
        <f>SUMIF('Week1'!$A:$A,$A123,'Week1'!$H:$H)+SUMIF('Week2'!$A:$A,$A123,'Week2'!$H:$H)+SUMIF('Week3'!$A:$A,$A123,'Week3'!$H:$H)+SUMIF('Week4'!$A:$A,$A123,'Week4'!$H:$H)</f>
        <v/>
      </c>
      <c r="I123" s="7">
        <f>SUMIF('Week1'!$A:$A,$A123,'Week1'!$I:$I)+SUMIF('Week2'!$A:$A,$A123,'Week2'!$I:$I)+SUMIF('Week3'!$A:$A,$A123,'Week3'!$I:$I)+SUMIF('Week4'!$A:$A,$A123,'Week4'!$I:$I)</f>
        <v/>
      </c>
      <c r="J123" s="7">
        <f>SUMIF('Week1'!$A:$A,$A123,'Week1'!$J:$J)+SUMIF('Week2'!$A:$A,$A123,'Week2'!$J:$J)+SUMIF('Week3'!$A:$A,$A123,'Week3'!$J:$J)+SUMIF('Week4'!$A:$A,$A123,'Week4'!$J:$J)</f>
        <v/>
      </c>
      <c r="K123" s="7">
        <f>SUMIF('Week1'!$A:$A,$A123,'Week1'!$K:$K)+SUMIF('Week2'!$A:$A,$A123,'Week2'!$K:$K)+SUMIF('Week3'!$A:$A,$A123,'Week3'!$K:$K)+SUMIF('Week4'!$A:$A,$A123,'Week4'!$K:$K)</f>
        <v/>
      </c>
    </row>
    <row r="124">
      <c r="A124" s="6" t="inlineStr">
        <is>
          <t>KRUTI RATHOD</t>
        </is>
      </c>
      <c r="B124" s="6" t="inlineStr">
        <is>
          <t>OFCE</t>
        </is>
      </c>
      <c r="C124" s="7" t="n">
        <v>727</v>
      </c>
      <c r="D124" s="7">
        <f>SUMIF('Week1'!$A:$A,$A124,'Week1'!$D:$D)+SUMIF('Week2'!$A:$A,$A124,'Week2'!$D:$D)+SUMIF('Week3'!$A:$A,$A124,'Week3'!$D:$D)+SUMIF('Week4'!$A:$A,$A124,'Week4'!$D:$D)</f>
        <v/>
      </c>
      <c r="E124" s="7">
        <f>SUMIF('Week1'!$A:$A,$A124,'Week1'!$E:$E)+SUMIF('Week2'!$A:$A,$A124,'Week2'!$E:$E)+SUMIF('Week3'!$A:$A,$A124,'Week3'!$E:$E)+SUMIF('Week4'!$A:$A,$A124,'Week4'!$E:$E)</f>
        <v/>
      </c>
      <c r="F124" s="7">
        <f>SUMIF('Week1'!$A:$A,$A124,'Week1'!$F:$F)+SUMIF('Week2'!$A:$A,$A124,'Week2'!$F:$F)+SUMIF('Week3'!$A:$A,$A124,'Week3'!$F:$F)+SUMIF('Week4'!$A:$A,$A124,'Week4'!$F:$F)</f>
        <v/>
      </c>
      <c r="G124" s="7">
        <f>SUMIF('Week1'!$A:$A,$A124,'Week1'!$G:$G)+SUMIF('Week2'!$A:$A,$A124,'Week2'!$G:$G)+SUMIF('Week3'!$A:$A,$A124,'Week3'!$G:$G)+SUMIF('Week4'!$A:$A,$A124,'Week4'!$G:$G)</f>
        <v/>
      </c>
      <c r="H124" s="7">
        <f>SUMIF('Week1'!$A:$A,$A124,'Week1'!$H:$H)+SUMIF('Week2'!$A:$A,$A124,'Week2'!$H:$H)+SUMIF('Week3'!$A:$A,$A124,'Week3'!$H:$H)+SUMIF('Week4'!$A:$A,$A124,'Week4'!$H:$H)</f>
        <v/>
      </c>
      <c r="I124" s="7">
        <f>SUMIF('Week1'!$A:$A,$A124,'Week1'!$I:$I)+SUMIF('Week2'!$A:$A,$A124,'Week2'!$I:$I)+SUMIF('Week3'!$A:$A,$A124,'Week3'!$I:$I)+SUMIF('Week4'!$A:$A,$A124,'Week4'!$I:$I)</f>
        <v/>
      </c>
      <c r="J124" s="7">
        <f>SUMIF('Week1'!$A:$A,$A124,'Week1'!$J:$J)+SUMIF('Week2'!$A:$A,$A124,'Week2'!$J:$J)+SUMIF('Week3'!$A:$A,$A124,'Week3'!$J:$J)+SUMIF('Week4'!$A:$A,$A124,'Week4'!$J:$J)</f>
        <v/>
      </c>
      <c r="K124" s="7">
        <f>SUMIF('Week1'!$A:$A,$A124,'Week1'!$K:$K)+SUMIF('Week2'!$A:$A,$A124,'Week2'!$K:$K)+SUMIF('Week3'!$A:$A,$A124,'Week3'!$K:$K)+SUMIF('Week4'!$A:$A,$A124,'Week4'!$K:$K)</f>
        <v/>
      </c>
    </row>
    <row r="125">
      <c r="A125" s="6" t="inlineStr">
        <is>
          <t>DEVANG SHAH</t>
        </is>
      </c>
      <c r="B125" s="6" t="inlineStr">
        <is>
          <t>OFCE</t>
        </is>
      </c>
      <c r="C125" s="7" t="n">
        <v>429</v>
      </c>
      <c r="D125" s="7">
        <f>SUMIF('Week1'!$A:$A,$A125,'Week1'!$D:$D)+SUMIF('Week2'!$A:$A,$A125,'Week2'!$D:$D)+SUMIF('Week3'!$A:$A,$A125,'Week3'!$D:$D)+SUMIF('Week4'!$A:$A,$A125,'Week4'!$D:$D)</f>
        <v/>
      </c>
      <c r="E125" s="7">
        <f>SUMIF('Week1'!$A:$A,$A125,'Week1'!$E:$E)+SUMIF('Week2'!$A:$A,$A125,'Week2'!$E:$E)+SUMIF('Week3'!$A:$A,$A125,'Week3'!$E:$E)+SUMIF('Week4'!$A:$A,$A125,'Week4'!$E:$E)</f>
        <v/>
      </c>
      <c r="F125" s="7">
        <f>SUMIF('Week1'!$A:$A,$A125,'Week1'!$F:$F)+SUMIF('Week2'!$A:$A,$A125,'Week2'!$F:$F)+SUMIF('Week3'!$A:$A,$A125,'Week3'!$F:$F)+SUMIF('Week4'!$A:$A,$A125,'Week4'!$F:$F)</f>
        <v/>
      </c>
      <c r="G125" s="7">
        <f>SUMIF('Week1'!$A:$A,$A125,'Week1'!$G:$G)+SUMIF('Week2'!$A:$A,$A125,'Week2'!$G:$G)+SUMIF('Week3'!$A:$A,$A125,'Week3'!$G:$G)+SUMIF('Week4'!$A:$A,$A125,'Week4'!$G:$G)</f>
        <v/>
      </c>
      <c r="H125" s="7">
        <f>SUMIF('Week1'!$A:$A,$A125,'Week1'!$H:$H)+SUMIF('Week2'!$A:$A,$A125,'Week2'!$H:$H)+SUMIF('Week3'!$A:$A,$A125,'Week3'!$H:$H)+SUMIF('Week4'!$A:$A,$A125,'Week4'!$H:$H)</f>
        <v/>
      </c>
      <c r="I125" s="7">
        <f>SUMIF('Week1'!$A:$A,$A125,'Week1'!$I:$I)+SUMIF('Week2'!$A:$A,$A125,'Week2'!$I:$I)+SUMIF('Week3'!$A:$A,$A125,'Week3'!$I:$I)+SUMIF('Week4'!$A:$A,$A125,'Week4'!$I:$I)</f>
        <v/>
      </c>
      <c r="J125" s="7">
        <f>SUMIF('Week1'!$A:$A,$A125,'Week1'!$J:$J)+SUMIF('Week2'!$A:$A,$A125,'Week2'!$J:$J)+SUMIF('Week3'!$A:$A,$A125,'Week3'!$J:$J)+SUMIF('Week4'!$A:$A,$A125,'Week4'!$J:$J)</f>
        <v/>
      </c>
      <c r="K125" s="7">
        <f>SUMIF('Week1'!$A:$A,$A125,'Week1'!$K:$K)+SUMIF('Week2'!$A:$A,$A125,'Week2'!$K:$K)+SUMIF('Week3'!$A:$A,$A125,'Week3'!$K:$K)+SUMIF('Week4'!$A:$A,$A125,'Week4'!$K:$K)</f>
        <v/>
      </c>
    </row>
    <row r="126">
      <c r="A126" s="6" t="inlineStr">
        <is>
          <t>TAJINDER SINGH SEHDEV</t>
        </is>
      </c>
      <c r="B126" s="6" t="inlineStr">
        <is>
          <t>OFCE</t>
        </is>
      </c>
      <c r="C126" s="7" t="n">
        <v>522</v>
      </c>
      <c r="D126" s="7">
        <f>SUMIF('Week1'!$A:$A,$A126,'Week1'!$D:$D)+SUMIF('Week2'!$A:$A,$A126,'Week2'!$D:$D)+SUMIF('Week3'!$A:$A,$A126,'Week3'!$D:$D)+SUMIF('Week4'!$A:$A,$A126,'Week4'!$D:$D)</f>
        <v/>
      </c>
      <c r="E126" s="7">
        <f>SUMIF('Week1'!$A:$A,$A126,'Week1'!$E:$E)+SUMIF('Week2'!$A:$A,$A126,'Week2'!$E:$E)+SUMIF('Week3'!$A:$A,$A126,'Week3'!$E:$E)+SUMIF('Week4'!$A:$A,$A126,'Week4'!$E:$E)</f>
        <v/>
      </c>
      <c r="F126" s="7">
        <f>SUMIF('Week1'!$A:$A,$A126,'Week1'!$F:$F)+SUMIF('Week2'!$A:$A,$A126,'Week2'!$F:$F)+SUMIF('Week3'!$A:$A,$A126,'Week3'!$F:$F)+SUMIF('Week4'!$A:$A,$A126,'Week4'!$F:$F)</f>
        <v/>
      </c>
      <c r="G126" s="7">
        <f>SUMIF('Week1'!$A:$A,$A126,'Week1'!$G:$G)+SUMIF('Week2'!$A:$A,$A126,'Week2'!$G:$G)+SUMIF('Week3'!$A:$A,$A126,'Week3'!$G:$G)+SUMIF('Week4'!$A:$A,$A126,'Week4'!$G:$G)</f>
        <v/>
      </c>
      <c r="H126" s="7">
        <f>SUMIF('Week1'!$A:$A,$A126,'Week1'!$H:$H)+SUMIF('Week2'!$A:$A,$A126,'Week2'!$H:$H)+SUMIF('Week3'!$A:$A,$A126,'Week3'!$H:$H)+SUMIF('Week4'!$A:$A,$A126,'Week4'!$H:$H)</f>
        <v/>
      </c>
      <c r="I126" s="7">
        <f>SUMIF('Week1'!$A:$A,$A126,'Week1'!$I:$I)+SUMIF('Week2'!$A:$A,$A126,'Week2'!$I:$I)+SUMIF('Week3'!$A:$A,$A126,'Week3'!$I:$I)+SUMIF('Week4'!$A:$A,$A126,'Week4'!$I:$I)</f>
        <v/>
      </c>
      <c r="J126" s="7">
        <f>SUMIF('Week1'!$A:$A,$A126,'Week1'!$J:$J)+SUMIF('Week2'!$A:$A,$A126,'Week2'!$J:$J)+SUMIF('Week3'!$A:$A,$A126,'Week3'!$J:$J)+SUMIF('Week4'!$A:$A,$A126,'Week4'!$J:$J)</f>
        <v/>
      </c>
      <c r="K126" s="7">
        <f>SUMIF('Week1'!$A:$A,$A126,'Week1'!$K:$K)+SUMIF('Week2'!$A:$A,$A126,'Week2'!$K:$K)+SUMIF('Week3'!$A:$A,$A126,'Week3'!$K:$K)+SUMIF('Week4'!$A:$A,$A126,'Week4'!$K:$K)</f>
        <v/>
      </c>
    </row>
    <row r="127">
      <c r="A127" s="6" t="inlineStr">
        <is>
          <t>BHARGAV VANZA</t>
        </is>
      </c>
      <c r="B127" s="6" t="inlineStr">
        <is>
          <t>OFCE</t>
        </is>
      </c>
      <c r="C127" s="7" t="n">
        <v>161</v>
      </c>
      <c r="D127" s="7">
        <f>SUMIF('Week1'!$A:$A,$A127,'Week1'!$D:$D)+SUMIF('Week2'!$A:$A,$A127,'Week2'!$D:$D)+SUMIF('Week3'!$A:$A,$A127,'Week3'!$D:$D)+SUMIF('Week4'!$A:$A,$A127,'Week4'!$D:$D)</f>
        <v/>
      </c>
      <c r="E127" s="7">
        <f>SUMIF('Week1'!$A:$A,$A127,'Week1'!$E:$E)+SUMIF('Week2'!$A:$A,$A127,'Week2'!$E:$E)+SUMIF('Week3'!$A:$A,$A127,'Week3'!$E:$E)+SUMIF('Week4'!$A:$A,$A127,'Week4'!$E:$E)</f>
        <v/>
      </c>
      <c r="F127" s="7">
        <f>SUMIF('Week1'!$A:$A,$A127,'Week1'!$F:$F)+SUMIF('Week2'!$A:$A,$A127,'Week2'!$F:$F)+SUMIF('Week3'!$A:$A,$A127,'Week3'!$F:$F)+SUMIF('Week4'!$A:$A,$A127,'Week4'!$F:$F)</f>
        <v/>
      </c>
      <c r="G127" s="7">
        <f>SUMIF('Week1'!$A:$A,$A127,'Week1'!$G:$G)+SUMIF('Week2'!$A:$A,$A127,'Week2'!$G:$G)+SUMIF('Week3'!$A:$A,$A127,'Week3'!$G:$G)+SUMIF('Week4'!$A:$A,$A127,'Week4'!$G:$G)</f>
        <v/>
      </c>
      <c r="H127" s="7">
        <f>SUMIF('Week1'!$A:$A,$A127,'Week1'!$H:$H)+SUMIF('Week2'!$A:$A,$A127,'Week2'!$H:$H)+SUMIF('Week3'!$A:$A,$A127,'Week3'!$H:$H)+SUMIF('Week4'!$A:$A,$A127,'Week4'!$H:$H)</f>
        <v/>
      </c>
      <c r="I127" s="7">
        <f>SUMIF('Week1'!$A:$A,$A127,'Week1'!$I:$I)+SUMIF('Week2'!$A:$A,$A127,'Week2'!$I:$I)+SUMIF('Week3'!$A:$A,$A127,'Week3'!$I:$I)+SUMIF('Week4'!$A:$A,$A127,'Week4'!$I:$I)</f>
        <v/>
      </c>
      <c r="J127" s="7">
        <f>SUMIF('Week1'!$A:$A,$A127,'Week1'!$J:$J)+SUMIF('Week2'!$A:$A,$A127,'Week2'!$J:$J)+SUMIF('Week3'!$A:$A,$A127,'Week3'!$J:$J)+SUMIF('Week4'!$A:$A,$A127,'Week4'!$J:$J)</f>
        <v/>
      </c>
      <c r="K127" s="7">
        <f>SUMIF('Week1'!$A:$A,$A127,'Week1'!$K:$K)+SUMIF('Week2'!$A:$A,$A127,'Week2'!$K:$K)+SUMIF('Week3'!$A:$A,$A127,'Week3'!$K:$K)+SUMIF('Week4'!$A:$A,$A127,'Week4'!$K:$K)</f>
        <v/>
      </c>
    </row>
    <row r="128">
      <c r="A128" s="6" t="inlineStr">
        <is>
          <t>AYUSH BHARATBHAI VASANI</t>
        </is>
      </c>
      <c r="B128" s="6" t="inlineStr">
        <is>
          <t>PKNG HIGH_RISK</t>
        </is>
      </c>
      <c r="C128" s="7" t="n">
        <v>707</v>
      </c>
      <c r="D128" s="7">
        <f>SUMIF('Week1'!$A:$A,$A128,'Week1'!$D:$D)+SUMIF('Week2'!$A:$A,$A128,'Week2'!$D:$D)+SUMIF('Week3'!$A:$A,$A128,'Week3'!$D:$D)+SUMIF('Week4'!$A:$A,$A128,'Week4'!$D:$D)</f>
        <v/>
      </c>
      <c r="E128" s="7">
        <f>SUMIF('Week1'!$A:$A,$A128,'Week1'!$E:$E)+SUMIF('Week2'!$A:$A,$A128,'Week2'!$E:$E)+SUMIF('Week3'!$A:$A,$A128,'Week3'!$E:$E)+SUMIF('Week4'!$A:$A,$A128,'Week4'!$E:$E)</f>
        <v/>
      </c>
      <c r="F128" s="7">
        <f>SUMIF('Week1'!$A:$A,$A128,'Week1'!$F:$F)+SUMIF('Week2'!$A:$A,$A128,'Week2'!$F:$F)+SUMIF('Week3'!$A:$A,$A128,'Week3'!$F:$F)+SUMIF('Week4'!$A:$A,$A128,'Week4'!$F:$F)</f>
        <v/>
      </c>
      <c r="G128" s="7">
        <f>SUMIF('Week1'!$A:$A,$A128,'Week1'!$G:$G)+SUMIF('Week2'!$A:$A,$A128,'Week2'!$G:$G)+SUMIF('Week3'!$A:$A,$A128,'Week3'!$G:$G)+SUMIF('Week4'!$A:$A,$A128,'Week4'!$G:$G)</f>
        <v/>
      </c>
      <c r="H128" s="7">
        <f>SUMIF('Week1'!$A:$A,$A128,'Week1'!$H:$H)+SUMIF('Week2'!$A:$A,$A128,'Week2'!$H:$H)+SUMIF('Week3'!$A:$A,$A128,'Week3'!$H:$H)+SUMIF('Week4'!$A:$A,$A128,'Week4'!$H:$H)</f>
        <v/>
      </c>
      <c r="I128" s="7">
        <f>SUMIF('Week1'!$A:$A,$A128,'Week1'!$I:$I)+SUMIF('Week2'!$A:$A,$A128,'Week2'!$I:$I)+SUMIF('Week3'!$A:$A,$A128,'Week3'!$I:$I)+SUMIF('Week4'!$A:$A,$A128,'Week4'!$I:$I)</f>
        <v/>
      </c>
      <c r="J128" s="7">
        <f>SUMIF('Week1'!$A:$A,$A128,'Week1'!$J:$J)+SUMIF('Week2'!$A:$A,$A128,'Week2'!$J:$J)+SUMIF('Week3'!$A:$A,$A128,'Week3'!$J:$J)+SUMIF('Week4'!$A:$A,$A128,'Week4'!$J:$J)</f>
        <v/>
      </c>
      <c r="K128" s="7">
        <f>SUMIF('Week1'!$A:$A,$A128,'Week1'!$K:$K)+SUMIF('Week2'!$A:$A,$A128,'Week2'!$K:$K)+SUMIF('Week3'!$A:$A,$A128,'Week3'!$K:$K)+SUMIF('Week4'!$A:$A,$A128,'Week4'!$K:$K)</f>
        <v/>
      </c>
    </row>
    <row r="129">
      <c r="A129" s="6" t="inlineStr">
        <is>
          <t>REGAN DA SILVA</t>
        </is>
      </c>
      <c r="B129" s="6" t="inlineStr">
        <is>
          <t>PKNG HIGH_RISK</t>
        </is>
      </c>
      <c r="C129" s="7" t="n">
        <v>713</v>
      </c>
      <c r="D129" s="7">
        <f>SUMIF('Week1'!$A:$A,$A129,'Week1'!$D:$D)+SUMIF('Week2'!$A:$A,$A129,'Week2'!$D:$D)+SUMIF('Week3'!$A:$A,$A129,'Week3'!$D:$D)+SUMIF('Week4'!$A:$A,$A129,'Week4'!$D:$D)</f>
        <v/>
      </c>
      <c r="E129" s="7">
        <f>SUMIF('Week1'!$A:$A,$A129,'Week1'!$E:$E)+SUMIF('Week2'!$A:$A,$A129,'Week2'!$E:$E)+SUMIF('Week3'!$A:$A,$A129,'Week3'!$E:$E)+SUMIF('Week4'!$A:$A,$A129,'Week4'!$E:$E)</f>
        <v/>
      </c>
      <c r="F129" s="7">
        <f>SUMIF('Week1'!$A:$A,$A129,'Week1'!$F:$F)+SUMIF('Week2'!$A:$A,$A129,'Week2'!$F:$F)+SUMIF('Week3'!$A:$A,$A129,'Week3'!$F:$F)+SUMIF('Week4'!$A:$A,$A129,'Week4'!$F:$F)</f>
        <v/>
      </c>
      <c r="G129" s="7">
        <f>SUMIF('Week1'!$A:$A,$A129,'Week1'!$G:$G)+SUMIF('Week2'!$A:$A,$A129,'Week2'!$G:$G)+SUMIF('Week3'!$A:$A,$A129,'Week3'!$G:$G)+SUMIF('Week4'!$A:$A,$A129,'Week4'!$G:$G)</f>
        <v/>
      </c>
      <c r="H129" s="7">
        <f>SUMIF('Week1'!$A:$A,$A129,'Week1'!$H:$H)+SUMIF('Week2'!$A:$A,$A129,'Week2'!$H:$H)+SUMIF('Week3'!$A:$A,$A129,'Week3'!$H:$H)+SUMIF('Week4'!$A:$A,$A129,'Week4'!$H:$H)</f>
        <v/>
      </c>
      <c r="I129" s="7">
        <f>SUMIF('Week1'!$A:$A,$A129,'Week1'!$I:$I)+SUMIF('Week2'!$A:$A,$A129,'Week2'!$I:$I)+SUMIF('Week3'!$A:$A,$A129,'Week3'!$I:$I)+SUMIF('Week4'!$A:$A,$A129,'Week4'!$I:$I)</f>
        <v/>
      </c>
      <c r="J129" s="7">
        <f>SUMIF('Week1'!$A:$A,$A129,'Week1'!$J:$J)+SUMIF('Week2'!$A:$A,$A129,'Week2'!$J:$J)+SUMIF('Week3'!$A:$A,$A129,'Week3'!$J:$J)+SUMIF('Week4'!$A:$A,$A129,'Week4'!$J:$J)</f>
        <v/>
      </c>
      <c r="K129" s="7">
        <f>SUMIF('Week1'!$A:$A,$A129,'Week1'!$K:$K)+SUMIF('Week2'!$A:$A,$A129,'Week2'!$K:$K)+SUMIF('Week3'!$A:$A,$A129,'Week3'!$K:$K)+SUMIF('Week4'!$A:$A,$A129,'Week4'!$K:$K)</f>
        <v/>
      </c>
    </row>
    <row r="130">
      <c r="A130" s="6" t="inlineStr">
        <is>
          <t>FALGUNI DHANGAR</t>
        </is>
      </c>
      <c r="B130" s="6" t="inlineStr">
        <is>
          <t>PKNG HIGH_RISK</t>
        </is>
      </c>
      <c r="C130" s="7" t="n">
        <v>637</v>
      </c>
      <c r="D130" s="7">
        <f>SUMIF('Week1'!$A:$A,$A130,'Week1'!$D:$D)+SUMIF('Week2'!$A:$A,$A130,'Week2'!$D:$D)+SUMIF('Week3'!$A:$A,$A130,'Week3'!$D:$D)+SUMIF('Week4'!$A:$A,$A130,'Week4'!$D:$D)</f>
        <v/>
      </c>
      <c r="E130" s="7">
        <f>SUMIF('Week1'!$A:$A,$A130,'Week1'!$E:$E)+SUMIF('Week2'!$A:$A,$A130,'Week2'!$E:$E)+SUMIF('Week3'!$A:$A,$A130,'Week3'!$E:$E)+SUMIF('Week4'!$A:$A,$A130,'Week4'!$E:$E)</f>
        <v/>
      </c>
      <c r="F130" s="7">
        <f>SUMIF('Week1'!$A:$A,$A130,'Week1'!$F:$F)+SUMIF('Week2'!$A:$A,$A130,'Week2'!$F:$F)+SUMIF('Week3'!$A:$A,$A130,'Week3'!$F:$F)+SUMIF('Week4'!$A:$A,$A130,'Week4'!$F:$F)</f>
        <v/>
      </c>
      <c r="G130" s="7">
        <f>SUMIF('Week1'!$A:$A,$A130,'Week1'!$G:$G)+SUMIF('Week2'!$A:$A,$A130,'Week2'!$G:$G)+SUMIF('Week3'!$A:$A,$A130,'Week3'!$G:$G)+SUMIF('Week4'!$A:$A,$A130,'Week4'!$G:$G)</f>
        <v/>
      </c>
      <c r="H130" s="7">
        <f>SUMIF('Week1'!$A:$A,$A130,'Week1'!$H:$H)+SUMIF('Week2'!$A:$A,$A130,'Week2'!$H:$H)+SUMIF('Week3'!$A:$A,$A130,'Week3'!$H:$H)+SUMIF('Week4'!$A:$A,$A130,'Week4'!$H:$H)</f>
        <v/>
      </c>
      <c r="I130" s="7">
        <f>SUMIF('Week1'!$A:$A,$A130,'Week1'!$I:$I)+SUMIF('Week2'!$A:$A,$A130,'Week2'!$I:$I)+SUMIF('Week3'!$A:$A,$A130,'Week3'!$I:$I)+SUMIF('Week4'!$A:$A,$A130,'Week4'!$I:$I)</f>
        <v/>
      </c>
      <c r="J130" s="7">
        <f>SUMIF('Week1'!$A:$A,$A130,'Week1'!$J:$J)+SUMIF('Week2'!$A:$A,$A130,'Week2'!$J:$J)+SUMIF('Week3'!$A:$A,$A130,'Week3'!$J:$J)+SUMIF('Week4'!$A:$A,$A130,'Week4'!$J:$J)</f>
        <v/>
      </c>
      <c r="K130" s="7">
        <f>SUMIF('Week1'!$A:$A,$A130,'Week1'!$K:$K)+SUMIF('Week2'!$A:$A,$A130,'Week2'!$K:$K)+SUMIF('Week3'!$A:$A,$A130,'Week3'!$K:$K)+SUMIF('Week4'!$A:$A,$A130,'Week4'!$K:$K)</f>
        <v/>
      </c>
    </row>
    <row r="131">
      <c r="A131" s="6" t="inlineStr">
        <is>
          <t>DIVYA DIVYA</t>
        </is>
      </c>
      <c r="B131" s="6" t="inlineStr">
        <is>
          <t>PKNG HIGH_RISK</t>
        </is>
      </c>
      <c r="C131" s="7" t="n">
        <v>734</v>
      </c>
      <c r="D131" s="7">
        <f>SUMIF('Week1'!$A:$A,$A131,'Week1'!$D:$D)+SUMIF('Week2'!$A:$A,$A131,'Week2'!$D:$D)+SUMIF('Week3'!$A:$A,$A131,'Week3'!$D:$D)+SUMIF('Week4'!$A:$A,$A131,'Week4'!$D:$D)</f>
        <v/>
      </c>
      <c r="E131" s="7">
        <f>SUMIF('Week1'!$A:$A,$A131,'Week1'!$E:$E)+SUMIF('Week2'!$A:$A,$A131,'Week2'!$E:$E)+SUMIF('Week3'!$A:$A,$A131,'Week3'!$E:$E)+SUMIF('Week4'!$A:$A,$A131,'Week4'!$E:$E)</f>
        <v/>
      </c>
      <c r="F131" s="7">
        <f>SUMIF('Week1'!$A:$A,$A131,'Week1'!$F:$F)+SUMIF('Week2'!$A:$A,$A131,'Week2'!$F:$F)+SUMIF('Week3'!$A:$A,$A131,'Week3'!$F:$F)+SUMIF('Week4'!$A:$A,$A131,'Week4'!$F:$F)</f>
        <v/>
      </c>
      <c r="G131" s="7">
        <f>SUMIF('Week1'!$A:$A,$A131,'Week1'!$G:$G)+SUMIF('Week2'!$A:$A,$A131,'Week2'!$G:$G)+SUMIF('Week3'!$A:$A,$A131,'Week3'!$G:$G)+SUMIF('Week4'!$A:$A,$A131,'Week4'!$G:$G)</f>
        <v/>
      </c>
      <c r="H131" s="7">
        <f>SUMIF('Week1'!$A:$A,$A131,'Week1'!$H:$H)+SUMIF('Week2'!$A:$A,$A131,'Week2'!$H:$H)+SUMIF('Week3'!$A:$A,$A131,'Week3'!$H:$H)+SUMIF('Week4'!$A:$A,$A131,'Week4'!$H:$H)</f>
        <v/>
      </c>
      <c r="I131" s="7">
        <f>SUMIF('Week1'!$A:$A,$A131,'Week1'!$I:$I)+SUMIF('Week2'!$A:$A,$A131,'Week2'!$I:$I)+SUMIF('Week3'!$A:$A,$A131,'Week3'!$I:$I)+SUMIF('Week4'!$A:$A,$A131,'Week4'!$I:$I)</f>
        <v/>
      </c>
      <c r="J131" s="7">
        <f>SUMIF('Week1'!$A:$A,$A131,'Week1'!$J:$J)+SUMIF('Week2'!$A:$A,$A131,'Week2'!$J:$J)+SUMIF('Week3'!$A:$A,$A131,'Week3'!$J:$J)+SUMIF('Week4'!$A:$A,$A131,'Week4'!$J:$J)</f>
        <v/>
      </c>
      <c r="K131" s="7">
        <f>SUMIF('Week1'!$A:$A,$A131,'Week1'!$K:$K)+SUMIF('Week2'!$A:$A,$A131,'Week2'!$K:$K)+SUMIF('Week3'!$A:$A,$A131,'Week3'!$K:$K)+SUMIF('Week4'!$A:$A,$A131,'Week4'!$K:$K)</f>
        <v/>
      </c>
    </row>
    <row r="132">
      <c r="A132" s="6" t="inlineStr">
        <is>
          <t>GOPI GUNABHAI DEVANI</t>
        </is>
      </c>
      <c r="B132" s="6" t="inlineStr">
        <is>
          <t>PKNG HIGH_RISK</t>
        </is>
      </c>
      <c r="C132" s="7" t="n">
        <v>757</v>
      </c>
      <c r="D132" s="7">
        <f>SUMIF('Week1'!$A:$A,$A132,'Week1'!$D:$D)+SUMIF('Week2'!$A:$A,$A132,'Week2'!$D:$D)+SUMIF('Week3'!$A:$A,$A132,'Week3'!$D:$D)+SUMIF('Week4'!$A:$A,$A132,'Week4'!$D:$D)</f>
        <v/>
      </c>
      <c r="E132" s="7">
        <f>SUMIF('Week1'!$A:$A,$A132,'Week1'!$E:$E)+SUMIF('Week2'!$A:$A,$A132,'Week2'!$E:$E)+SUMIF('Week3'!$A:$A,$A132,'Week3'!$E:$E)+SUMIF('Week4'!$A:$A,$A132,'Week4'!$E:$E)</f>
        <v/>
      </c>
      <c r="F132" s="7">
        <f>SUMIF('Week1'!$A:$A,$A132,'Week1'!$F:$F)+SUMIF('Week2'!$A:$A,$A132,'Week2'!$F:$F)+SUMIF('Week3'!$A:$A,$A132,'Week3'!$F:$F)+SUMIF('Week4'!$A:$A,$A132,'Week4'!$F:$F)</f>
        <v/>
      </c>
      <c r="G132" s="7">
        <f>SUMIF('Week1'!$A:$A,$A132,'Week1'!$G:$G)+SUMIF('Week2'!$A:$A,$A132,'Week2'!$G:$G)+SUMIF('Week3'!$A:$A,$A132,'Week3'!$G:$G)+SUMIF('Week4'!$A:$A,$A132,'Week4'!$G:$G)</f>
        <v/>
      </c>
      <c r="H132" s="7">
        <f>SUMIF('Week1'!$A:$A,$A132,'Week1'!$H:$H)+SUMIF('Week2'!$A:$A,$A132,'Week2'!$H:$H)+SUMIF('Week3'!$A:$A,$A132,'Week3'!$H:$H)+SUMIF('Week4'!$A:$A,$A132,'Week4'!$H:$H)</f>
        <v/>
      </c>
      <c r="I132" s="7">
        <f>SUMIF('Week1'!$A:$A,$A132,'Week1'!$I:$I)+SUMIF('Week2'!$A:$A,$A132,'Week2'!$I:$I)+SUMIF('Week3'!$A:$A,$A132,'Week3'!$I:$I)+SUMIF('Week4'!$A:$A,$A132,'Week4'!$I:$I)</f>
        <v/>
      </c>
      <c r="J132" s="7">
        <f>SUMIF('Week1'!$A:$A,$A132,'Week1'!$J:$J)+SUMIF('Week2'!$A:$A,$A132,'Week2'!$J:$J)+SUMIF('Week3'!$A:$A,$A132,'Week3'!$J:$J)+SUMIF('Week4'!$A:$A,$A132,'Week4'!$J:$J)</f>
        <v/>
      </c>
      <c r="K132" s="7">
        <f>SUMIF('Week1'!$A:$A,$A132,'Week1'!$K:$K)+SUMIF('Week2'!$A:$A,$A132,'Week2'!$K:$K)+SUMIF('Week3'!$A:$A,$A132,'Week3'!$K:$K)+SUMIF('Week4'!$A:$A,$A132,'Week4'!$K:$K)</f>
        <v/>
      </c>
    </row>
    <row r="133">
      <c r="A133" s="6" t="inlineStr">
        <is>
          <t>ANGELA KRANYIK</t>
        </is>
      </c>
      <c r="B133" s="6" t="inlineStr">
        <is>
          <t>PKNG HIGH_RISK</t>
        </is>
      </c>
      <c r="C133" s="7" t="n">
        <v>320</v>
      </c>
      <c r="D133" s="7">
        <f>SUMIF('Week1'!$A:$A,$A133,'Week1'!$D:$D)+SUMIF('Week2'!$A:$A,$A133,'Week2'!$D:$D)+SUMIF('Week3'!$A:$A,$A133,'Week3'!$D:$D)+SUMIF('Week4'!$A:$A,$A133,'Week4'!$D:$D)</f>
        <v/>
      </c>
      <c r="E133" s="7">
        <f>SUMIF('Week1'!$A:$A,$A133,'Week1'!$E:$E)+SUMIF('Week2'!$A:$A,$A133,'Week2'!$E:$E)+SUMIF('Week3'!$A:$A,$A133,'Week3'!$E:$E)+SUMIF('Week4'!$A:$A,$A133,'Week4'!$E:$E)</f>
        <v/>
      </c>
      <c r="F133" s="7">
        <f>SUMIF('Week1'!$A:$A,$A133,'Week1'!$F:$F)+SUMIF('Week2'!$A:$A,$A133,'Week2'!$F:$F)+SUMIF('Week3'!$A:$A,$A133,'Week3'!$F:$F)+SUMIF('Week4'!$A:$A,$A133,'Week4'!$F:$F)</f>
        <v/>
      </c>
      <c r="G133" s="7">
        <f>SUMIF('Week1'!$A:$A,$A133,'Week1'!$G:$G)+SUMIF('Week2'!$A:$A,$A133,'Week2'!$G:$G)+SUMIF('Week3'!$A:$A,$A133,'Week3'!$G:$G)+SUMIF('Week4'!$A:$A,$A133,'Week4'!$G:$G)</f>
        <v/>
      </c>
      <c r="H133" s="7">
        <f>SUMIF('Week1'!$A:$A,$A133,'Week1'!$H:$H)+SUMIF('Week2'!$A:$A,$A133,'Week2'!$H:$H)+SUMIF('Week3'!$A:$A,$A133,'Week3'!$H:$H)+SUMIF('Week4'!$A:$A,$A133,'Week4'!$H:$H)</f>
        <v/>
      </c>
      <c r="I133" s="7">
        <f>SUMIF('Week1'!$A:$A,$A133,'Week1'!$I:$I)+SUMIF('Week2'!$A:$A,$A133,'Week2'!$I:$I)+SUMIF('Week3'!$A:$A,$A133,'Week3'!$I:$I)+SUMIF('Week4'!$A:$A,$A133,'Week4'!$I:$I)</f>
        <v/>
      </c>
      <c r="J133" s="7">
        <f>SUMIF('Week1'!$A:$A,$A133,'Week1'!$J:$J)+SUMIF('Week2'!$A:$A,$A133,'Week2'!$J:$J)+SUMIF('Week3'!$A:$A,$A133,'Week3'!$J:$J)+SUMIF('Week4'!$A:$A,$A133,'Week4'!$J:$J)</f>
        <v/>
      </c>
      <c r="K133" s="7">
        <f>SUMIF('Week1'!$A:$A,$A133,'Week1'!$K:$K)+SUMIF('Week2'!$A:$A,$A133,'Week2'!$K:$K)+SUMIF('Week3'!$A:$A,$A133,'Week3'!$K:$K)+SUMIF('Week4'!$A:$A,$A133,'Week4'!$K:$K)</f>
        <v/>
      </c>
    </row>
    <row r="134">
      <c r="A134" s="6" t="inlineStr">
        <is>
          <t>ARTI MAENCAR</t>
        </is>
      </c>
      <c r="B134" s="6" t="inlineStr">
        <is>
          <t>PKNG HIGH_RISK</t>
        </is>
      </c>
      <c r="C134" s="7" t="n">
        <v>445</v>
      </c>
      <c r="D134" s="7">
        <f>SUMIF('Week1'!$A:$A,$A134,'Week1'!$D:$D)+SUMIF('Week2'!$A:$A,$A134,'Week2'!$D:$D)+SUMIF('Week3'!$A:$A,$A134,'Week3'!$D:$D)+SUMIF('Week4'!$A:$A,$A134,'Week4'!$D:$D)</f>
        <v/>
      </c>
      <c r="E134" s="7">
        <f>SUMIF('Week1'!$A:$A,$A134,'Week1'!$E:$E)+SUMIF('Week2'!$A:$A,$A134,'Week2'!$E:$E)+SUMIF('Week3'!$A:$A,$A134,'Week3'!$E:$E)+SUMIF('Week4'!$A:$A,$A134,'Week4'!$E:$E)</f>
        <v/>
      </c>
      <c r="F134" s="7">
        <f>SUMIF('Week1'!$A:$A,$A134,'Week1'!$F:$F)+SUMIF('Week2'!$A:$A,$A134,'Week2'!$F:$F)+SUMIF('Week3'!$A:$A,$A134,'Week3'!$F:$F)+SUMIF('Week4'!$A:$A,$A134,'Week4'!$F:$F)</f>
        <v/>
      </c>
      <c r="G134" s="7">
        <f>SUMIF('Week1'!$A:$A,$A134,'Week1'!$G:$G)+SUMIF('Week2'!$A:$A,$A134,'Week2'!$G:$G)+SUMIF('Week3'!$A:$A,$A134,'Week3'!$G:$G)+SUMIF('Week4'!$A:$A,$A134,'Week4'!$G:$G)</f>
        <v/>
      </c>
      <c r="H134" s="7">
        <f>SUMIF('Week1'!$A:$A,$A134,'Week1'!$H:$H)+SUMIF('Week2'!$A:$A,$A134,'Week2'!$H:$H)+SUMIF('Week3'!$A:$A,$A134,'Week3'!$H:$H)+SUMIF('Week4'!$A:$A,$A134,'Week4'!$H:$H)</f>
        <v/>
      </c>
      <c r="I134" s="7">
        <f>SUMIF('Week1'!$A:$A,$A134,'Week1'!$I:$I)+SUMIF('Week2'!$A:$A,$A134,'Week2'!$I:$I)+SUMIF('Week3'!$A:$A,$A134,'Week3'!$I:$I)+SUMIF('Week4'!$A:$A,$A134,'Week4'!$I:$I)</f>
        <v/>
      </c>
      <c r="J134" s="7">
        <f>SUMIF('Week1'!$A:$A,$A134,'Week1'!$J:$J)+SUMIF('Week2'!$A:$A,$A134,'Week2'!$J:$J)+SUMIF('Week3'!$A:$A,$A134,'Week3'!$J:$J)+SUMIF('Week4'!$A:$A,$A134,'Week4'!$J:$J)</f>
        <v/>
      </c>
      <c r="K134" s="7">
        <f>SUMIF('Week1'!$A:$A,$A134,'Week1'!$K:$K)+SUMIF('Week2'!$A:$A,$A134,'Week2'!$K:$K)+SUMIF('Week3'!$A:$A,$A134,'Week3'!$K:$K)+SUMIF('Week4'!$A:$A,$A134,'Week4'!$K:$K)</f>
        <v/>
      </c>
    </row>
    <row r="135">
      <c r="A135" s="6" t="inlineStr">
        <is>
          <t>SHANTHI PERUMAL MURTHI</t>
        </is>
      </c>
      <c r="B135" s="6" t="inlineStr">
        <is>
          <t>PKNG HIGH_RISK</t>
        </is>
      </c>
      <c r="C135" s="7" t="n">
        <v>751</v>
      </c>
      <c r="D135" s="7">
        <f>SUMIF('Week1'!$A:$A,$A135,'Week1'!$D:$D)+SUMIF('Week2'!$A:$A,$A135,'Week2'!$D:$D)+SUMIF('Week3'!$A:$A,$A135,'Week3'!$D:$D)+SUMIF('Week4'!$A:$A,$A135,'Week4'!$D:$D)</f>
        <v/>
      </c>
      <c r="E135" s="7">
        <f>SUMIF('Week1'!$A:$A,$A135,'Week1'!$E:$E)+SUMIF('Week2'!$A:$A,$A135,'Week2'!$E:$E)+SUMIF('Week3'!$A:$A,$A135,'Week3'!$E:$E)+SUMIF('Week4'!$A:$A,$A135,'Week4'!$E:$E)</f>
        <v/>
      </c>
      <c r="F135" s="7">
        <f>SUMIF('Week1'!$A:$A,$A135,'Week1'!$F:$F)+SUMIF('Week2'!$A:$A,$A135,'Week2'!$F:$F)+SUMIF('Week3'!$A:$A,$A135,'Week3'!$F:$F)+SUMIF('Week4'!$A:$A,$A135,'Week4'!$F:$F)</f>
        <v/>
      </c>
      <c r="G135" s="7">
        <f>SUMIF('Week1'!$A:$A,$A135,'Week1'!$G:$G)+SUMIF('Week2'!$A:$A,$A135,'Week2'!$G:$G)+SUMIF('Week3'!$A:$A,$A135,'Week3'!$G:$G)+SUMIF('Week4'!$A:$A,$A135,'Week4'!$G:$G)</f>
        <v/>
      </c>
      <c r="H135" s="7">
        <f>SUMIF('Week1'!$A:$A,$A135,'Week1'!$H:$H)+SUMIF('Week2'!$A:$A,$A135,'Week2'!$H:$H)+SUMIF('Week3'!$A:$A,$A135,'Week3'!$H:$H)+SUMIF('Week4'!$A:$A,$A135,'Week4'!$H:$H)</f>
        <v/>
      </c>
      <c r="I135" s="7">
        <f>SUMIF('Week1'!$A:$A,$A135,'Week1'!$I:$I)+SUMIF('Week2'!$A:$A,$A135,'Week2'!$I:$I)+SUMIF('Week3'!$A:$A,$A135,'Week3'!$I:$I)+SUMIF('Week4'!$A:$A,$A135,'Week4'!$I:$I)</f>
        <v/>
      </c>
      <c r="J135" s="7">
        <f>SUMIF('Week1'!$A:$A,$A135,'Week1'!$J:$J)+SUMIF('Week2'!$A:$A,$A135,'Week2'!$J:$J)+SUMIF('Week3'!$A:$A,$A135,'Week3'!$J:$J)+SUMIF('Week4'!$A:$A,$A135,'Week4'!$J:$J)</f>
        <v/>
      </c>
      <c r="K135" s="7">
        <f>SUMIF('Week1'!$A:$A,$A135,'Week1'!$K:$K)+SUMIF('Week2'!$A:$A,$A135,'Week2'!$K:$K)+SUMIF('Week3'!$A:$A,$A135,'Week3'!$K:$K)+SUMIF('Week4'!$A:$A,$A135,'Week4'!$K:$K)</f>
        <v/>
      </c>
    </row>
    <row r="136">
      <c r="A136" s="6" t="inlineStr">
        <is>
          <t>NAGESH SOMA</t>
        </is>
      </c>
      <c r="B136" s="6" t="inlineStr">
        <is>
          <t>PKNG HIGH_RISK</t>
        </is>
      </c>
      <c r="C136" s="7" t="n">
        <v>724</v>
      </c>
      <c r="D136" s="7">
        <f>SUMIF('Week1'!$A:$A,$A136,'Week1'!$D:$D)+SUMIF('Week2'!$A:$A,$A136,'Week2'!$D:$D)+SUMIF('Week3'!$A:$A,$A136,'Week3'!$D:$D)+SUMIF('Week4'!$A:$A,$A136,'Week4'!$D:$D)</f>
        <v/>
      </c>
      <c r="E136" s="7">
        <f>SUMIF('Week1'!$A:$A,$A136,'Week1'!$E:$E)+SUMIF('Week2'!$A:$A,$A136,'Week2'!$E:$E)+SUMIF('Week3'!$A:$A,$A136,'Week3'!$E:$E)+SUMIF('Week4'!$A:$A,$A136,'Week4'!$E:$E)</f>
        <v/>
      </c>
      <c r="F136" s="7">
        <f>SUMIF('Week1'!$A:$A,$A136,'Week1'!$F:$F)+SUMIF('Week2'!$A:$A,$A136,'Week2'!$F:$F)+SUMIF('Week3'!$A:$A,$A136,'Week3'!$F:$F)+SUMIF('Week4'!$A:$A,$A136,'Week4'!$F:$F)</f>
        <v/>
      </c>
      <c r="G136" s="7">
        <f>SUMIF('Week1'!$A:$A,$A136,'Week1'!$G:$G)+SUMIF('Week2'!$A:$A,$A136,'Week2'!$G:$G)+SUMIF('Week3'!$A:$A,$A136,'Week3'!$G:$G)+SUMIF('Week4'!$A:$A,$A136,'Week4'!$G:$G)</f>
        <v/>
      </c>
      <c r="H136" s="7">
        <f>SUMIF('Week1'!$A:$A,$A136,'Week1'!$H:$H)+SUMIF('Week2'!$A:$A,$A136,'Week2'!$H:$H)+SUMIF('Week3'!$A:$A,$A136,'Week3'!$H:$H)+SUMIF('Week4'!$A:$A,$A136,'Week4'!$H:$H)</f>
        <v/>
      </c>
      <c r="I136" s="7">
        <f>SUMIF('Week1'!$A:$A,$A136,'Week1'!$I:$I)+SUMIF('Week2'!$A:$A,$A136,'Week2'!$I:$I)+SUMIF('Week3'!$A:$A,$A136,'Week3'!$I:$I)+SUMIF('Week4'!$A:$A,$A136,'Week4'!$I:$I)</f>
        <v/>
      </c>
      <c r="J136" s="7">
        <f>SUMIF('Week1'!$A:$A,$A136,'Week1'!$J:$J)+SUMIF('Week2'!$A:$A,$A136,'Week2'!$J:$J)+SUMIF('Week3'!$A:$A,$A136,'Week3'!$J:$J)+SUMIF('Week4'!$A:$A,$A136,'Week4'!$J:$J)</f>
        <v/>
      </c>
      <c r="K136" s="7">
        <f>SUMIF('Week1'!$A:$A,$A136,'Week1'!$K:$K)+SUMIF('Week2'!$A:$A,$A136,'Week2'!$K:$K)+SUMIF('Week3'!$A:$A,$A136,'Week3'!$K:$K)+SUMIF('Week4'!$A:$A,$A136,'Week4'!$K:$K)</f>
        <v/>
      </c>
    </row>
    <row r="137">
      <c r="A137" s="6" t="inlineStr">
        <is>
          <t>RAVINA SUREXA NAIQUE</t>
        </is>
      </c>
      <c r="B137" s="6" t="inlineStr">
        <is>
          <t>PKNG HIGH_RISK</t>
        </is>
      </c>
      <c r="C137" s="7" t="n">
        <v>714</v>
      </c>
      <c r="D137" s="7">
        <f>SUMIF('Week1'!$A:$A,$A137,'Week1'!$D:$D)+SUMIF('Week2'!$A:$A,$A137,'Week2'!$D:$D)+SUMIF('Week3'!$A:$A,$A137,'Week3'!$D:$D)+SUMIF('Week4'!$A:$A,$A137,'Week4'!$D:$D)</f>
        <v/>
      </c>
      <c r="E137" s="7">
        <f>SUMIF('Week1'!$A:$A,$A137,'Week1'!$E:$E)+SUMIF('Week2'!$A:$A,$A137,'Week2'!$E:$E)+SUMIF('Week3'!$A:$A,$A137,'Week3'!$E:$E)+SUMIF('Week4'!$A:$A,$A137,'Week4'!$E:$E)</f>
        <v/>
      </c>
      <c r="F137" s="7">
        <f>SUMIF('Week1'!$A:$A,$A137,'Week1'!$F:$F)+SUMIF('Week2'!$A:$A,$A137,'Week2'!$F:$F)+SUMIF('Week3'!$A:$A,$A137,'Week3'!$F:$F)+SUMIF('Week4'!$A:$A,$A137,'Week4'!$F:$F)</f>
        <v/>
      </c>
      <c r="G137" s="7">
        <f>SUMIF('Week1'!$A:$A,$A137,'Week1'!$G:$G)+SUMIF('Week2'!$A:$A,$A137,'Week2'!$G:$G)+SUMIF('Week3'!$A:$A,$A137,'Week3'!$G:$G)+SUMIF('Week4'!$A:$A,$A137,'Week4'!$G:$G)</f>
        <v/>
      </c>
      <c r="H137" s="7">
        <f>SUMIF('Week1'!$A:$A,$A137,'Week1'!$H:$H)+SUMIF('Week2'!$A:$A,$A137,'Week2'!$H:$H)+SUMIF('Week3'!$A:$A,$A137,'Week3'!$H:$H)+SUMIF('Week4'!$A:$A,$A137,'Week4'!$H:$H)</f>
        <v/>
      </c>
      <c r="I137" s="7">
        <f>SUMIF('Week1'!$A:$A,$A137,'Week1'!$I:$I)+SUMIF('Week2'!$A:$A,$A137,'Week2'!$I:$I)+SUMIF('Week3'!$A:$A,$A137,'Week3'!$I:$I)+SUMIF('Week4'!$A:$A,$A137,'Week4'!$I:$I)</f>
        <v/>
      </c>
      <c r="J137" s="7">
        <f>SUMIF('Week1'!$A:$A,$A137,'Week1'!$J:$J)+SUMIF('Week2'!$A:$A,$A137,'Week2'!$J:$J)+SUMIF('Week3'!$A:$A,$A137,'Week3'!$J:$J)+SUMIF('Week4'!$A:$A,$A137,'Week4'!$J:$J)</f>
        <v/>
      </c>
      <c r="K137" s="7">
        <f>SUMIF('Week1'!$A:$A,$A137,'Week1'!$K:$K)+SUMIF('Week2'!$A:$A,$A137,'Week2'!$K:$K)+SUMIF('Week3'!$A:$A,$A137,'Week3'!$K:$K)+SUMIF('Week4'!$A:$A,$A137,'Week4'!$K:$K)</f>
        <v/>
      </c>
    </row>
    <row r="138">
      <c r="A138" s="6" t="inlineStr">
        <is>
          <t>LUCY XAVERINA LOPES</t>
        </is>
      </c>
      <c r="B138" s="6" t="inlineStr">
        <is>
          <t>PKNG HIGH_RISK</t>
        </is>
      </c>
      <c r="C138" s="7" t="n">
        <v>726</v>
      </c>
      <c r="D138" s="7">
        <f>SUMIF('Week1'!$A:$A,$A138,'Week1'!$D:$D)+SUMIF('Week2'!$A:$A,$A138,'Week2'!$D:$D)+SUMIF('Week3'!$A:$A,$A138,'Week3'!$D:$D)+SUMIF('Week4'!$A:$A,$A138,'Week4'!$D:$D)</f>
        <v/>
      </c>
      <c r="E138" s="7">
        <f>SUMIF('Week1'!$A:$A,$A138,'Week1'!$E:$E)+SUMIF('Week2'!$A:$A,$A138,'Week2'!$E:$E)+SUMIF('Week3'!$A:$A,$A138,'Week3'!$E:$E)+SUMIF('Week4'!$A:$A,$A138,'Week4'!$E:$E)</f>
        <v/>
      </c>
      <c r="F138" s="7">
        <f>SUMIF('Week1'!$A:$A,$A138,'Week1'!$F:$F)+SUMIF('Week2'!$A:$A,$A138,'Week2'!$F:$F)+SUMIF('Week3'!$A:$A,$A138,'Week3'!$F:$F)+SUMIF('Week4'!$A:$A,$A138,'Week4'!$F:$F)</f>
        <v/>
      </c>
      <c r="G138" s="7">
        <f>SUMIF('Week1'!$A:$A,$A138,'Week1'!$G:$G)+SUMIF('Week2'!$A:$A,$A138,'Week2'!$G:$G)+SUMIF('Week3'!$A:$A,$A138,'Week3'!$G:$G)+SUMIF('Week4'!$A:$A,$A138,'Week4'!$G:$G)</f>
        <v/>
      </c>
      <c r="H138" s="7">
        <f>SUMIF('Week1'!$A:$A,$A138,'Week1'!$H:$H)+SUMIF('Week2'!$A:$A,$A138,'Week2'!$H:$H)+SUMIF('Week3'!$A:$A,$A138,'Week3'!$H:$H)+SUMIF('Week4'!$A:$A,$A138,'Week4'!$H:$H)</f>
        <v/>
      </c>
      <c r="I138" s="7">
        <f>SUMIF('Week1'!$A:$A,$A138,'Week1'!$I:$I)+SUMIF('Week2'!$A:$A,$A138,'Week2'!$I:$I)+SUMIF('Week3'!$A:$A,$A138,'Week3'!$I:$I)+SUMIF('Week4'!$A:$A,$A138,'Week4'!$I:$I)</f>
        <v/>
      </c>
      <c r="J138" s="7">
        <f>SUMIF('Week1'!$A:$A,$A138,'Week1'!$J:$J)+SUMIF('Week2'!$A:$A,$A138,'Week2'!$J:$J)+SUMIF('Week3'!$A:$A,$A138,'Week3'!$J:$J)+SUMIF('Week4'!$A:$A,$A138,'Week4'!$J:$J)</f>
        <v/>
      </c>
      <c r="K138" s="7">
        <f>SUMIF('Week1'!$A:$A,$A138,'Week1'!$K:$K)+SUMIF('Week2'!$A:$A,$A138,'Week2'!$K:$K)+SUMIF('Week3'!$A:$A,$A138,'Week3'!$K:$K)+SUMIF('Week4'!$A:$A,$A138,'Week4'!$K:$K)</f>
        <v/>
      </c>
    </row>
    <row r="139">
      <c r="A139" s="6" t="inlineStr">
        <is>
          <t>RAMESH BAGOANE</t>
        </is>
      </c>
      <c r="B139" s="6" t="inlineStr">
        <is>
          <t>PKNG SLEEVING</t>
        </is>
      </c>
      <c r="C139" s="7" t="n">
        <v>254</v>
      </c>
      <c r="D139" s="7">
        <f>SUMIF('Week1'!$A:$A,$A139,'Week1'!$D:$D)+SUMIF('Week2'!$A:$A,$A139,'Week2'!$D:$D)+SUMIF('Week3'!$A:$A,$A139,'Week3'!$D:$D)+SUMIF('Week4'!$A:$A,$A139,'Week4'!$D:$D)</f>
        <v/>
      </c>
      <c r="E139" s="7">
        <f>SUMIF('Week1'!$A:$A,$A139,'Week1'!$E:$E)+SUMIF('Week2'!$A:$A,$A139,'Week2'!$E:$E)+SUMIF('Week3'!$A:$A,$A139,'Week3'!$E:$E)+SUMIF('Week4'!$A:$A,$A139,'Week4'!$E:$E)</f>
        <v/>
      </c>
      <c r="F139" s="7">
        <f>SUMIF('Week1'!$A:$A,$A139,'Week1'!$F:$F)+SUMIF('Week2'!$A:$A,$A139,'Week2'!$F:$F)+SUMIF('Week3'!$A:$A,$A139,'Week3'!$F:$F)+SUMIF('Week4'!$A:$A,$A139,'Week4'!$F:$F)</f>
        <v/>
      </c>
      <c r="G139" s="7">
        <f>SUMIF('Week1'!$A:$A,$A139,'Week1'!$G:$G)+SUMIF('Week2'!$A:$A,$A139,'Week2'!$G:$G)+SUMIF('Week3'!$A:$A,$A139,'Week3'!$G:$G)+SUMIF('Week4'!$A:$A,$A139,'Week4'!$G:$G)</f>
        <v/>
      </c>
      <c r="H139" s="7">
        <f>SUMIF('Week1'!$A:$A,$A139,'Week1'!$H:$H)+SUMIF('Week2'!$A:$A,$A139,'Week2'!$H:$H)+SUMIF('Week3'!$A:$A,$A139,'Week3'!$H:$H)+SUMIF('Week4'!$A:$A,$A139,'Week4'!$H:$H)</f>
        <v/>
      </c>
      <c r="I139" s="7">
        <f>SUMIF('Week1'!$A:$A,$A139,'Week1'!$I:$I)+SUMIF('Week2'!$A:$A,$A139,'Week2'!$I:$I)+SUMIF('Week3'!$A:$A,$A139,'Week3'!$I:$I)+SUMIF('Week4'!$A:$A,$A139,'Week4'!$I:$I)</f>
        <v/>
      </c>
      <c r="J139" s="7">
        <f>SUMIF('Week1'!$A:$A,$A139,'Week1'!$J:$J)+SUMIF('Week2'!$A:$A,$A139,'Week2'!$J:$J)+SUMIF('Week3'!$A:$A,$A139,'Week3'!$J:$J)+SUMIF('Week4'!$A:$A,$A139,'Week4'!$J:$J)</f>
        <v/>
      </c>
      <c r="K139" s="7">
        <f>SUMIF('Week1'!$A:$A,$A139,'Week1'!$K:$K)+SUMIF('Week2'!$A:$A,$A139,'Week2'!$K:$K)+SUMIF('Week3'!$A:$A,$A139,'Week3'!$K:$K)+SUMIF('Week4'!$A:$A,$A139,'Week4'!$K:$K)</f>
        <v/>
      </c>
    </row>
    <row r="140">
      <c r="A140" s="6" t="inlineStr">
        <is>
          <t>KANTI CALA</t>
        </is>
      </c>
      <c r="B140" s="6" t="inlineStr">
        <is>
          <t>PKNG SLEEVING</t>
        </is>
      </c>
      <c r="C140" s="7" t="n">
        <v>392</v>
      </c>
      <c r="D140" s="7">
        <f>SUMIF('Week1'!$A:$A,$A140,'Week1'!$D:$D)+SUMIF('Week2'!$A:$A,$A140,'Week2'!$D:$D)+SUMIF('Week3'!$A:$A,$A140,'Week3'!$D:$D)+SUMIF('Week4'!$A:$A,$A140,'Week4'!$D:$D)</f>
        <v/>
      </c>
      <c r="E140" s="7">
        <f>SUMIF('Week1'!$A:$A,$A140,'Week1'!$E:$E)+SUMIF('Week2'!$A:$A,$A140,'Week2'!$E:$E)+SUMIF('Week3'!$A:$A,$A140,'Week3'!$E:$E)+SUMIF('Week4'!$A:$A,$A140,'Week4'!$E:$E)</f>
        <v/>
      </c>
      <c r="F140" s="7">
        <f>SUMIF('Week1'!$A:$A,$A140,'Week1'!$F:$F)+SUMIF('Week2'!$A:$A,$A140,'Week2'!$F:$F)+SUMIF('Week3'!$A:$A,$A140,'Week3'!$F:$F)+SUMIF('Week4'!$A:$A,$A140,'Week4'!$F:$F)</f>
        <v/>
      </c>
      <c r="G140" s="7">
        <f>SUMIF('Week1'!$A:$A,$A140,'Week1'!$G:$G)+SUMIF('Week2'!$A:$A,$A140,'Week2'!$G:$G)+SUMIF('Week3'!$A:$A,$A140,'Week3'!$G:$G)+SUMIF('Week4'!$A:$A,$A140,'Week4'!$G:$G)</f>
        <v/>
      </c>
      <c r="H140" s="7">
        <f>SUMIF('Week1'!$A:$A,$A140,'Week1'!$H:$H)+SUMIF('Week2'!$A:$A,$A140,'Week2'!$H:$H)+SUMIF('Week3'!$A:$A,$A140,'Week3'!$H:$H)+SUMIF('Week4'!$A:$A,$A140,'Week4'!$H:$H)</f>
        <v/>
      </c>
      <c r="I140" s="7">
        <f>SUMIF('Week1'!$A:$A,$A140,'Week1'!$I:$I)+SUMIF('Week2'!$A:$A,$A140,'Week2'!$I:$I)+SUMIF('Week3'!$A:$A,$A140,'Week3'!$I:$I)+SUMIF('Week4'!$A:$A,$A140,'Week4'!$I:$I)</f>
        <v/>
      </c>
      <c r="J140" s="7">
        <f>SUMIF('Week1'!$A:$A,$A140,'Week1'!$J:$J)+SUMIF('Week2'!$A:$A,$A140,'Week2'!$J:$J)+SUMIF('Week3'!$A:$A,$A140,'Week3'!$J:$J)+SUMIF('Week4'!$A:$A,$A140,'Week4'!$J:$J)</f>
        <v/>
      </c>
      <c r="K140" s="7">
        <f>SUMIF('Week1'!$A:$A,$A140,'Week1'!$K:$K)+SUMIF('Week2'!$A:$A,$A140,'Week2'!$K:$K)+SUMIF('Week3'!$A:$A,$A140,'Week3'!$K:$K)+SUMIF('Week4'!$A:$A,$A140,'Week4'!$K:$K)</f>
        <v/>
      </c>
    </row>
    <row r="141">
      <c r="A141" s="6" t="inlineStr">
        <is>
          <t>TEJASKUMAR CANGI</t>
        </is>
      </c>
      <c r="B141" s="6" t="inlineStr">
        <is>
          <t>PKNG SLEEVING</t>
        </is>
      </c>
      <c r="C141" s="7" t="n">
        <v>687</v>
      </c>
      <c r="D141" s="7">
        <f>SUMIF('Week1'!$A:$A,$A141,'Week1'!$D:$D)+SUMIF('Week2'!$A:$A,$A141,'Week2'!$D:$D)+SUMIF('Week3'!$A:$A,$A141,'Week3'!$D:$D)+SUMIF('Week4'!$A:$A,$A141,'Week4'!$D:$D)</f>
        <v/>
      </c>
      <c r="E141" s="7">
        <f>SUMIF('Week1'!$A:$A,$A141,'Week1'!$E:$E)+SUMIF('Week2'!$A:$A,$A141,'Week2'!$E:$E)+SUMIF('Week3'!$A:$A,$A141,'Week3'!$E:$E)+SUMIF('Week4'!$A:$A,$A141,'Week4'!$E:$E)</f>
        <v/>
      </c>
      <c r="F141" s="7">
        <f>SUMIF('Week1'!$A:$A,$A141,'Week1'!$F:$F)+SUMIF('Week2'!$A:$A,$A141,'Week2'!$F:$F)+SUMIF('Week3'!$A:$A,$A141,'Week3'!$F:$F)+SUMIF('Week4'!$A:$A,$A141,'Week4'!$F:$F)</f>
        <v/>
      </c>
      <c r="G141" s="7">
        <f>SUMIF('Week1'!$A:$A,$A141,'Week1'!$G:$G)+SUMIF('Week2'!$A:$A,$A141,'Week2'!$G:$G)+SUMIF('Week3'!$A:$A,$A141,'Week3'!$G:$G)+SUMIF('Week4'!$A:$A,$A141,'Week4'!$G:$G)</f>
        <v/>
      </c>
      <c r="H141" s="7">
        <f>SUMIF('Week1'!$A:$A,$A141,'Week1'!$H:$H)+SUMIF('Week2'!$A:$A,$A141,'Week2'!$H:$H)+SUMIF('Week3'!$A:$A,$A141,'Week3'!$H:$H)+SUMIF('Week4'!$A:$A,$A141,'Week4'!$H:$H)</f>
        <v/>
      </c>
      <c r="I141" s="7">
        <f>SUMIF('Week1'!$A:$A,$A141,'Week1'!$I:$I)+SUMIF('Week2'!$A:$A,$A141,'Week2'!$I:$I)+SUMIF('Week3'!$A:$A,$A141,'Week3'!$I:$I)+SUMIF('Week4'!$A:$A,$A141,'Week4'!$I:$I)</f>
        <v/>
      </c>
      <c r="J141" s="7">
        <f>SUMIF('Week1'!$A:$A,$A141,'Week1'!$J:$J)+SUMIF('Week2'!$A:$A,$A141,'Week2'!$J:$J)+SUMIF('Week3'!$A:$A,$A141,'Week3'!$J:$J)+SUMIF('Week4'!$A:$A,$A141,'Week4'!$J:$J)</f>
        <v/>
      </c>
      <c r="K141" s="7">
        <f>SUMIF('Week1'!$A:$A,$A141,'Week1'!$K:$K)+SUMIF('Week2'!$A:$A,$A141,'Week2'!$K:$K)+SUMIF('Week3'!$A:$A,$A141,'Week3'!$K:$K)+SUMIF('Week4'!$A:$A,$A141,'Week4'!$K:$K)</f>
        <v/>
      </c>
    </row>
    <row r="142">
      <c r="A142" s="6" t="inlineStr">
        <is>
          <t>JASMIN CARSANE</t>
        </is>
      </c>
      <c r="B142" s="6" t="inlineStr">
        <is>
          <t>PKNG SLEEVING</t>
        </is>
      </c>
      <c r="C142" s="7" t="n">
        <v>669</v>
      </c>
      <c r="D142" s="7">
        <f>SUMIF('Week1'!$A:$A,$A142,'Week1'!$D:$D)+SUMIF('Week2'!$A:$A,$A142,'Week2'!$D:$D)+SUMIF('Week3'!$A:$A,$A142,'Week3'!$D:$D)+SUMIF('Week4'!$A:$A,$A142,'Week4'!$D:$D)</f>
        <v/>
      </c>
      <c r="E142" s="7">
        <f>SUMIF('Week1'!$A:$A,$A142,'Week1'!$E:$E)+SUMIF('Week2'!$A:$A,$A142,'Week2'!$E:$E)+SUMIF('Week3'!$A:$A,$A142,'Week3'!$E:$E)+SUMIF('Week4'!$A:$A,$A142,'Week4'!$E:$E)</f>
        <v/>
      </c>
      <c r="F142" s="7">
        <f>SUMIF('Week1'!$A:$A,$A142,'Week1'!$F:$F)+SUMIF('Week2'!$A:$A,$A142,'Week2'!$F:$F)+SUMIF('Week3'!$A:$A,$A142,'Week3'!$F:$F)+SUMIF('Week4'!$A:$A,$A142,'Week4'!$F:$F)</f>
        <v/>
      </c>
      <c r="G142" s="7">
        <f>SUMIF('Week1'!$A:$A,$A142,'Week1'!$G:$G)+SUMIF('Week2'!$A:$A,$A142,'Week2'!$G:$G)+SUMIF('Week3'!$A:$A,$A142,'Week3'!$G:$G)+SUMIF('Week4'!$A:$A,$A142,'Week4'!$G:$G)</f>
        <v/>
      </c>
      <c r="H142" s="7">
        <f>SUMIF('Week1'!$A:$A,$A142,'Week1'!$H:$H)+SUMIF('Week2'!$A:$A,$A142,'Week2'!$H:$H)+SUMIF('Week3'!$A:$A,$A142,'Week3'!$H:$H)+SUMIF('Week4'!$A:$A,$A142,'Week4'!$H:$H)</f>
        <v/>
      </c>
      <c r="I142" s="7">
        <f>SUMIF('Week1'!$A:$A,$A142,'Week1'!$I:$I)+SUMIF('Week2'!$A:$A,$A142,'Week2'!$I:$I)+SUMIF('Week3'!$A:$A,$A142,'Week3'!$I:$I)+SUMIF('Week4'!$A:$A,$A142,'Week4'!$I:$I)</f>
        <v/>
      </c>
      <c r="J142" s="7">
        <f>SUMIF('Week1'!$A:$A,$A142,'Week1'!$J:$J)+SUMIF('Week2'!$A:$A,$A142,'Week2'!$J:$J)+SUMIF('Week3'!$A:$A,$A142,'Week3'!$J:$J)+SUMIF('Week4'!$A:$A,$A142,'Week4'!$J:$J)</f>
        <v/>
      </c>
      <c r="K142" s="7">
        <f>SUMIF('Week1'!$A:$A,$A142,'Week1'!$K:$K)+SUMIF('Week2'!$A:$A,$A142,'Week2'!$K:$K)+SUMIF('Week3'!$A:$A,$A142,'Week3'!$K:$K)+SUMIF('Week4'!$A:$A,$A142,'Week4'!$K:$K)</f>
        <v/>
      </c>
    </row>
    <row r="143">
      <c r="A143" s="6" t="inlineStr">
        <is>
          <t>SIMON DIAS</t>
        </is>
      </c>
      <c r="B143" s="6" t="inlineStr">
        <is>
          <t>PKNG SLEEVING</t>
        </is>
      </c>
      <c r="C143" s="7" t="n">
        <v>730</v>
      </c>
      <c r="D143" s="7">
        <f>SUMIF('Week1'!$A:$A,$A143,'Week1'!$D:$D)+SUMIF('Week2'!$A:$A,$A143,'Week2'!$D:$D)+SUMIF('Week3'!$A:$A,$A143,'Week3'!$D:$D)+SUMIF('Week4'!$A:$A,$A143,'Week4'!$D:$D)</f>
        <v/>
      </c>
      <c r="E143" s="7">
        <f>SUMIF('Week1'!$A:$A,$A143,'Week1'!$E:$E)+SUMIF('Week2'!$A:$A,$A143,'Week2'!$E:$E)+SUMIF('Week3'!$A:$A,$A143,'Week3'!$E:$E)+SUMIF('Week4'!$A:$A,$A143,'Week4'!$E:$E)</f>
        <v/>
      </c>
      <c r="F143" s="7">
        <f>SUMIF('Week1'!$A:$A,$A143,'Week1'!$F:$F)+SUMIF('Week2'!$A:$A,$A143,'Week2'!$F:$F)+SUMIF('Week3'!$A:$A,$A143,'Week3'!$F:$F)+SUMIF('Week4'!$A:$A,$A143,'Week4'!$F:$F)</f>
        <v/>
      </c>
      <c r="G143" s="7">
        <f>SUMIF('Week1'!$A:$A,$A143,'Week1'!$G:$G)+SUMIF('Week2'!$A:$A,$A143,'Week2'!$G:$G)+SUMIF('Week3'!$A:$A,$A143,'Week3'!$G:$G)+SUMIF('Week4'!$A:$A,$A143,'Week4'!$G:$G)</f>
        <v/>
      </c>
      <c r="H143" s="7">
        <f>SUMIF('Week1'!$A:$A,$A143,'Week1'!$H:$H)+SUMIF('Week2'!$A:$A,$A143,'Week2'!$H:$H)+SUMIF('Week3'!$A:$A,$A143,'Week3'!$H:$H)+SUMIF('Week4'!$A:$A,$A143,'Week4'!$H:$H)</f>
        <v/>
      </c>
      <c r="I143" s="7">
        <f>SUMIF('Week1'!$A:$A,$A143,'Week1'!$I:$I)+SUMIF('Week2'!$A:$A,$A143,'Week2'!$I:$I)+SUMIF('Week3'!$A:$A,$A143,'Week3'!$I:$I)+SUMIF('Week4'!$A:$A,$A143,'Week4'!$I:$I)</f>
        <v/>
      </c>
      <c r="J143" s="7">
        <f>SUMIF('Week1'!$A:$A,$A143,'Week1'!$J:$J)+SUMIF('Week2'!$A:$A,$A143,'Week2'!$J:$J)+SUMIF('Week3'!$A:$A,$A143,'Week3'!$J:$J)+SUMIF('Week4'!$A:$A,$A143,'Week4'!$J:$J)</f>
        <v/>
      </c>
      <c r="K143" s="7">
        <f>SUMIF('Week1'!$A:$A,$A143,'Week1'!$K:$K)+SUMIF('Week2'!$A:$A,$A143,'Week2'!$K:$K)+SUMIF('Week3'!$A:$A,$A143,'Week3'!$K:$K)+SUMIF('Week4'!$A:$A,$A143,'Week4'!$K:$K)</f>
        <v/>
      </c>
    </row>
    <row r="144">
      <c r="A144" s="6" t="inlineStr">
        <is>
          <t>DINESH MEGGI</t>
        </is>
      </c>
      <c r="B144" s="6" t="inlineStr">
        <is>
          <t>PKNG SLEEVING</t>
        </is>
      </c>
      <c r="C144" s="7" t="n">
        <v>387</v>
      </c>
      <c r="D144" s="7">
        <f>SUMIF('Week1'!$A:$A,$A144,'Week1'!$D:$D)+SUMIF('Week2'!$A:$A,$A144,'Week2'!$D:$D)+SUMIF('Week3'!$A:$A,$A144,'Week3'!$D:$D)+SUMIF('Week4'!$A:$A,$A144,'Week4'!$D:$D)</f>
        <v/>
      </c>
      <c r="E144" s="7">
        <f>SUMIF('Week1'!$A:$A,$A144,'Week1'!$E:$E)+SUMIF('Week2'!$A:$A,$A144,'Week2'!$E:$E)+SUMIF('Week3'!$A:$A,$A144,'Week3'!$E:$E)+SUMIF('Week4'!$A:$A,$A144,'Week4'!$E:$E)</f>
        <v/>
      </c>
      <c r="F144" s="7">
        <f>SUMIF('Week1'!$A:$A,$A144,'Week1'!$F:$F)+SUMIF('Week2'!$A:$A,$A144,'Week2'!$F:$F)+SUMIF('Week3'!$A:$A,$A144,'Week3'!$F:$F)+SUMIF('Week4'!$A:$A,$A144,'Week4'!$F:$F)</f>
        <v/>
      </c>
      <c r="G144" s="7">
        <f>SUMIF('Week1'!$A:$A,$A144,'Week1'!$G:$G)+SUMIF('Week2'!$A:$A,$A144,'Week2'!$G:$G)+SUMIF('Week3'!$A:$A,$A144,'Week3'!$G:$G)+SUMIF('Week4'!$A:$A,$A144,'Week4'!$G:$G)</f>
        <v/>
      </c>
      <c r="H144" s="7">
        <f>SUMIF('Week1'!$A:$A,$A144,'Week1'!$H:$H)+SUMIF('Week2'!$A:$A,$A144,'Week2'!$H:$H)+SUMIF('Week3'!$A:$A,$A144,'Week3'!$H:$H)+SUMIF('Week4'!$A:$A,$A144,'Week4'!$H:$H)</f>
        <v/>
      </c>
      <c r="I144" s="7">
        <f>SUMIF('Week1'!$A:$A,$A144,'Week1'!$I:$I)+SUMIF('Week2'!$A:$A,$A144,'Week2'!$I:$I)+SUMIF('Week3'!$A:$A,$A144,'Week3'!$I:$I)+SUMIF('Week4'!$A:$A,$A144,'Week4'!$I:$I)</f>
        <v/>
      </c>
      <c r="J144" s="7">
        <f>SUMIF('Week1'!$A:$A,$A144,'Week1'!$J:$J)+SUMIF('Week2'!$A:$A,$A144,'Week2'!$J:$J)+SUMIF('Week3'!$A:$A,$A144,'Week3'!$J:$J)+SUMIF('Week4'!$A:$A,$A144,'Week4'!$J:$J)</f>
        <v/>
      </c>
      <c r="K144" s="7">
        <f>SUMIF('Week1'!$A:$A,$A144,'Week1'!$K:$K)+SUMIF('Week2'!$A:$A,$A144,'Week2'!$K:$K)+SUMIF('Week3'!$A:$A,$A144,'Week3'!$K:$K)+SUMIF('Week4'!$A:$A,$A144,'Week4'!$K:$K)</f>
        <v/>
      </c>
    </row>
    <row r="145">
      <c r="A145" s="6" t="inlineStr">
        <is>
          <t>VINESHKUMAR MUKESHBHAI PATEL</t>
        </is>
      </c>
      <c r="B145" s="6" t="inlineStr">
        <is>
          <t>PKNG SLEEVING</t>
        </is>
      </c>
      <c r="C145" s="7" t="n">
        <v>683</v>
      </c>
      <c r="D145" s="7">
        <f>SUMIF('Week1'!$A:$A,$A145,'Week1'!$D:$D)+SUMIF('Week2'!$A:$A,$A145,'Week2'!$D:$D)+SUMIF('Week3'!$A:$A,$A145,'Week3'!$D:$D)+SUMIF('Week4'!$A:$A,$A145,'Week4'!$D:$D)</f>
        <v/>
      </c>
      <c r="E145" s="7">
        <f>SUMIF('Week1'!$A:$A,$A145,'Week1'!$E:$E)+SUMIF('Week2'!$A:$A,$A145,'Week2'!$E:$E)+SUMIF('Week3'!$A:$A,$A145,'Week3'!$E:$E)+SUMIF('Week4'!$A:$A,$A145,'Week4'!$E:$E)</f>
        <v/>
      </c>
      <c r="F145" s="7">
        <f>SUMIF('Week1'!$A:$A,$A145,'Week1'!$F:$F)+SUMIF('Week2'!$A:$A,$A145,'Week2'!$F:$F)+SUMIF('Week3'!$A:$A,$A145,'Week3'!$F:$F)+SUMIF('Week4'!$A:$A,$A145,'Week4'!$F:$F)</f>
        <v/>
      </c>
      <c r="G145" s="7">
        <f>SUMIF('Week1'!$A:$A,$A145,'Week1'!$G:$G)+SUMIF('Week2'!$A:$A,$A145,'Week2'!$G:$G)+SUMIF('Week3'!$A:$A,$A145,'Week3'!$G:$G)+SUMIF('Week4'!$A:$A,$A145,'Week4'!$G:$G)</f>
        <v/>
      </c>
      <c r="H145" s="7">
        <f>SUMIF('Week1'!$A:$A,$A145,'Week1'!$H:$H)+SUMIF('Week2'!$A:$A,$A145,'Week2'!$H:$H)+SUMIF('Week3'!$A:$A,$A145,'Week3'!$H:$H)+SUMIF('Week4'!$A:$A,$A145,'Week4'!$H:$H)</f>
        <v/>
      </c>
      <c r="I145" s="7">
        <f>SUMIF('Week1'!$A:$A,$A145,'Week1'!$I:$I)+SUMIF('Week2'!$A:$A,$A145,'Week2'!$I:$I)+SUMIF('Week3'!$A:$A,$A145,'Week3'!$I:$I)+SUMIF('Week4'!$A:$A,$A145,'Week4'!$I:$I)</f>
        <v/>
      </c>
      <c r="J145" s="7">
        <f>SUMIF('Week1'!$A:$A,$A145,'Week1'!$J:$J)+SUMIF('Week2'!$A:$A,$A145,'Week2'!$J:$J)+SUMIF('Week3'!$A:$A,$A145,'Week3'!$J:$J)+SUMIF('Week4'!$A:$A,$A145,'Week4'!$J:$J)</f>
        <v/>
      </c>
      <c r="K145" s="7">
        <f>SUMIF('Week1'!$A:$A,$A145,'Week1'!$K:$K)+SUMIF('Week2'!$A:$A,$A145,'Week2'!$K:$K)+SUMIF('Week3'!$A:$A,$A145,'Week3'!$K:$K)+SUMIF('Week4'!$A:$A,$A145,'Week4'!$K:$K)</f>
        <v/>
      </c>
    </row>
    <row r="146">
      <c r="A146" s="6" t="inlineStr">
        <is>
          <t>MUKESHKUMAR PEMGI</t>
        </is>
      </c>
      <c r="B146" s="6" t="inlineStr">
        <is>
          <t>PKNG SLEEVING</t>
        </is>
      </c>
      <c r="C146" s="7" t="n">
        <v>681</v>
      </c>
      <c r="D146" s="7">
        <f>SUMIF('Week1'!$A:$A,$A146,'Week1'!$D:$D)+SUMIF('Week2'!$A:$A,$A146,'Week2'!$D:$D)+SUMIF('Week3'!$A:$A,$A146,'Week3'!$D:$D)+SUMIF('Week4'!$A:$A,$A146,'Week4'!$D:$D)</f>
        <v/>
      </c>
      <c r="E146" s="7">
        <f>SUMIF('Week1'!$A:$A,$A146,'Week1'!$E:$E)+SUMIF('Week2'!$A:$A,$A146,'Week2'!$E:$E)+SUMIF('Week3'!$A:$A,$A146,'Week3'!$E:$E)+SUMIF('Week4'!$A:$A,$A146,'Week4'!$E:$E)</f>
        <v/>
      </c>
      <c r="F146" s="7">
        <f>SUMIF('Week1'!$A:$A,$A146,'Week1'!$F:$F)+SUMIF('Week2'!$A:$A,$A146,'Week2'!$F:$F)+SUMIF('Week3'!$A:$A,$A146,'Week3'!$F:$F)+SUMIF('Week4'!$A:$A,$A146,'Week4'!$F:$F)</f>
        <v/>
      </c>
      <c r="G146" s="7">
        <f>SUMIF('Week1'!$A:$A,$A146,'Week1'!$G:$G)+SUMIF('Week2'!$A:$A,$A146,'Week2'!$G:$G)+SUMIF('Week3'!$A:$A,$A146,'Week3'!$G:$G)+SUMIF('Week4'!$A:$A,$A146,'Week4'!$G:$G)</f>
        <v/>
      </c>
      <c r="H146" s="7">
        <f>SUMIF('Week1'!$A:$A,$A146,'Week1'!$H:$H)+SUMIF('Week2'!$A:$A,$A146,'Week2'!$H:$H)+SUMIF('Week3'!$A:$A,$A146,'Week3'!$H:$H)+SUMIF('Week4'!$A:$A,$A146,'Week4'!$H:$H)</f>
        <v/>
      </c>
      <c r="I146" s="7">
        <f>SUMIF('Week1'!$A:$A,$A146,'Week1'!$I:$I)+SUMIF('Week2'!$A:$A,$A146,'Week2'!$I:$I)+SUMIF('Week3'!$A:$A,$A146,'Week3'!$I:$I)+SUMIF('Week4'!$A:$A,$A146,'Week4'!$I:$I)</f>
        <v/>
      </c>
      <c r="J146" s="7">
        <f>SUMIF('Week1'!$A:$A,$A146,'Week1'!$J:$J)+SUMIF('Week2'!$A:$A,$A146,'Week2'!$J:$J)+SUMIF('Week3'!$A:$A,$A146,'Week3'!$J:$J)+SUMIF('Week4'!$A:$A,$A146,'Week4'!$J:$J)</f>
        <v/>
      </c>
      <c r="K146" s="7">
        <f>SUMIF('Week1'!$A:$A,$A146,'Week1'!$K:$K)+SUMIF('Week2'!$A:$A,$A146,'Week2'!$K:$K)+SUMIF('Week3'!$A:$A,$A146,'Week3'!$K:$K)+SUMIF('Week4'!$A:$A,$A146,'Week4'!$K:$K)</f>
        <v/>
      </c>
    </row>
    <row r="147">
      <c r="A147" s="6" t="inlineStr">
        <is>
          <t>VISHAL RAMJI</t>
        </is>
      </c>
      <c r="B147" s="6" t="inlineStr">
        <is>
          <t>PKNG SLEEVING</t>
        </is>
      </c>
      <c r="C147" s="7" t="n">
        <v>693</v>
      </c>
      <c r="D147" s="7">
        <f>SUMIF('Week1'!$A:$A,$A147,'Week1'!$D:$D)+SUMIF('Week2'!$A:$A,$A147,'Week2'!$D:$D)+SUMIF('Week3'!$A:$A,$A147,'Week3'!$D:$D)+SUMIF('Week4'!$A:$A,$A147,'Week4'!$D:$D)</f>
        <v/>
      </c>
      <c r="E147" s="7">
        <f>SUMIF('Week1'!$A:$A,$A147,'Week1'!$E:$E)+SUMIF('Week2'!$A:$A,$A147,'Week2'!$E:$E)+SUMIF('Week3'!$A:$A,$A147,'Week3'!$E:$E)+SUMIF('Week4'!$A:$A,$A147,'Week4'!$E:$E)</f>
        <v/>
      </c>
      <c r="F147" s="7">
        <f>SUMIF('Week1'!$A:$A,$A147,'Week1'!$F:$F)+SUMIF('Week2'!$A:$A,$A147,'Week2'!$F:$F)+SUMIF('Week3'!$A:$A,$A147,'Week3'!$F:$F)+SUMIF('Week4'!$A:$A,$A147,'Week4'!$F:$F)</f>
        <v/>
      </c>
      <c r="G147" s="7">
        <f>SUMIF('Week1'!$A:$A,$A147,'Week1'!$G:$G)+SUMIF('Week2'!$A:$A,$A147,'Week2'!$G:$G)+SUMIF('Week3'!$A:$A,$A147,'Week3'!$G:$G)+SUMIF('Week4'!$A:$A,$A147,'Week4'!$G:$G)</f>
        <v/>
      </c>
      <c r="H147" s="7">
        <f>SUMIF('Week1'!$A:$A,$A147,'Week1'!$H:$H)+SUMIF('Week2'!$A:$A,$A147,'Week2'!$H:$H)+SUMIF('Week3'!$A:$A,$A147,'Week3'!$H:$H)+SUMIF('Week4'!$A:$A,$A147,'Week4'!$H:$H)</f>
        <v/>
      </c>
      <c r="I147" s="7">
        <f>SUMIF('Week1'!$A:$A,$A147,'Week1'!$I:$I)+SUMIF('Week2'!$A:$A,$A147,'Week2'!$I:$I)+SUMIF('Week3'!$A:$A,$A147,'Week3'!$I:$I)+SUMIF('Week4'!$A:$A,$A147,'Week4'!$I:$I)</f>
        <v/>
      </c>
      <c r="J147" s="7">
        <f>SUMIF('Week1'!$A:$A,$A147,'Week1'!$J:$J)+SUMIF('Week2'!$A:$A,$A147,'Week2'!$J:$J)+SUMIF('Week3'!$A:$A,$A147,'Week3'!$J:$J)+SUMIF('Week4'!$A:$A,$A147,'Week4'!$J:$J)</f>
        <v/>
      </c>
      <c r="K147" s="7">
        <f>SUMIF('Week1'!$A:$A,$A147,'Week1'!$K:$K)+SUMIF('Week2'!$A:$A,$A147,'Week2'!$K:$K)+SUMIF('Week3'!$A:$A,$A147,'Week3'!$K:$K)+SUMIF('Week4'!$A:$A,$A147,'Week4'!$K:$K)</f>
        <v/>
      </c>
    </row>
    <row r="148">
      <c r="A148" s="6" t="inlineStr">
        <is>
          <t>JITENDRA SOMA CHAVDA</t>
        </is>
      </c>
      <c r="B148" s="6" t="inlineStr">
        <is>
          <t>PKNG SLEEVING</t>
        </is>
      </c>
      <c r="C148" s="7" t="n">
        <v>715</v>
      </c>
      <c r="D148" s="7">
        <f>SUMIF('Week1'!$A:$A,$A148,'Week1'!$D:$D)+SUMIF('Week2'!$A:$A,$A148,'Week2'!$D:$D)+SUMIF('Week3'!$A:$A,$A148,'Week3'!$D:$D)+SUMIF('Week4'!$A:$A,$A148,'Week4'!$D:$D)</f>
        <v/>
      </c>
      <c r="E148" s="7">
        <f>SUMIF('Week1'!$A:$A,$A148,'Week1'!$E:$E)+SUMIF('Week2'!$A:$A,$A148,'Week2'!$E:$E)+SUMIF('Week3'!$A:$A,$A148,'Week3'!$E:$E)+SUMIF('Week4'!$A:$A,$A148,'Week4'!$E:$E)</f>
        <v/>
      </c>
      <c r="F148" s="7">
        <f>SUMIF('Week1'!$A:$A,$A148,'Week1'!$F:$F)+SUMIF('Week2'!$A:$A,$A148,'Week2'!$F:$F)+SUMIF('Week3'!$A:$A,$A148,'Week3'!$F:$F)+SUMIF('Week4'!$A:$A,$A148,'Week4'!$F:$F)</f>
        <v/>
      </c>
      <c r="G148" s="7">
        <f>SUMIF('Week1'!$A:$A,$A148,'Week1'!$G:$G)+SUMIF('Week2'!$A:$A,$A148,'Week2'!$G:$G)+SUMIF('Week3'!$A:$A,$A148,'Week3'!$G:$G)+SUMIF('Week4'!$A:$A,$A148,'Week4'!$G:$G)</f>
        <v/>
      </c>
      <c r="H148" s="7">
        <f>SUMIF('Week1'!$A:$A,$A148,'Week1'!$H:$H)+SUMIF('Week2'!$A:$A,$A148,'Week2'!$H:$H)+SUMIF('Week3'!$A:$A,$A148,'Week3'!$H:$H)+SUMIF('Week4'!$A:$A,$A148,'Week4'!$H:$H)</f>
        <v/>
      </c>
      <c r="I148" s="7">
        <f>SUMIF('Week1'!$A:$A,$A148,'Week1'!$I:$I)+SUMIF('Week2'!$A:$A,$A148,'Week2'!$I:$I)+SUMIF('Week3'!$A:$A,$A148,'Week3'!$I:$I)+SUMIF('Week4'!$A:$A,$A148,'Week4'!$I:$I)</f>
        <v/>
      </c>
      <c r="J148" s="7">
        <f>SUMIF('Week1'!$A:$A,$A148,'Week1'!$J:$J)+SUMIF('Week2'!$A:$A,$A148,'Week2'!$J:$J)+SUMIF('Week3'!$A:$A,$A148,'Week3'!$J:$J)+SUMIF('Week4'!$A:$A,$A148,'Week4'!$J:$J)</f>
        <v/>
      </c>
      <c r="K148" s="7">
        <f>SUMIF('Week1'!$A:$A,$A148,'Week1'!$K:$K)+SUMIF('Week2'!$A:$A,$A148,'Week2'!$K:$K)+SUMIF('Week3'!$A:$A,$A148,'Week3'!$K:$K)+SUMIF('Week4'!$A:$A,$A148,'Week4'!$K:$K)</f>
        <v/>
      </c>
    </row>
    <row r="149">
      <c r="A149" s="6" t="inlineStr">
        <is>
          <t>DARSHIT TULSHIDAS</t>
        </is>
      </c>
      <c r="B149" s="6" t="inlineStr">
        <is>
          <t>PKNG SLEEVING</t>
        </is>
      </c>
      <c r="C149" s="7" t="n">
        <v>719</v>
      </c>
      <c r="D149" s="7">
        <f>SUMIF('Week1'!$A:$A,$A149,'Week1'!$D:$D)+SUMIF('Week2'!$A:$A,$A149,'Week2'!$D:$D)+SUMIF('Week3'!$A:$A,$A149,'Week3'!$D:$D)+SUMIF('Week4'!$A:$A,$A149,'Week4'!$D:$D)</f>
        <v/>
      </c>
      <c r="E149" s="7">
        <f>SUMIF('Week1'!$A:$A,$A149,'Week1'!$E:$E)+SUMIF('Week2'!$A:$A,$A149,'Week2'!$E:$E)+SUMIF('Week3'!$A:$A,$A149,'Week3'!$E:$E)+SUMIF('Week4'!$A:$A,$A149,'Week4'!$E:$E)</f>
        <v/>
      </c>
      <c r="F149" s="7">
        <f>SUMIF('Week1'!$A:$A,$A149,'Week1'!$F:$F)+SUMIF('Week2'!$A:$A,$A149,'Week2'!$F:$F)+SUMIF('Week3'!$A:$A,$A149,'Week3'!$F:$F)+SUMIF('Week4'!$A:$A,$A149,'Week4'!$F:$F)</f>
        <v/>
      </c>
      <c r="G149" s="7">
        <f>SUMIF('Week1'!$A:$A,$A149,'Week1'!$G:$G)+SUMIF('Week2'!$A:$A,$A149,'Week2'!$G:$G)+SUMIF('Week3'!$A:$A,$A149,'Week3'!$G:$G)+SUMIF('Week4'!$A:$A,$A149,'Week4'!$G:$G)</f>
        <v/>
      </c>
      <c r="H149" s="7">
        <f>SUMIF('Week1'!$A:$A,$A149,'Week1'!$H:$H)+SUMIF('Week2'!$A:$A,$A149,'Week2'!$H:$H)+SUMIF('Week3'!$A:$A,$A149,'Week3'!$H:$H)+SUMIF('Week4'!$A:$A,$A149,'Week4'!$H:$H)</f>
        <v/>
      </c>
      <c r="I149" s="7">
        <f>SUMIF('Week1'!$A:$A,$A149,'Week1'!$I:$I)+SUMIF('Week2'!$A:$A,$A149,'Week2'!$I:$I)+SUMIF('Week3'!$A:$A,$A149,'Week3'!$I:$I)+SUMIF('Week4'!$A:$A,$A149,'Week4'!$I:$I)</f>
        <v/>
      </c>
      <c r="J149" s="7">
        <f>SUMIF('Week1'!$A:$A,$A149,'Week1'!$J:$J)+SUMIF('Week2'!$A:$A,$A149,'Week2'!$J:$J)+SUMIF('Week3'!$A:$A,$A149,'Week3'!$J:$J)+SUMIF('Week4'!$A:$A,$A149,'Week4'!$J:$J)</f>
        <v/>
      </c>
      <c r="K149" s="7">
        <f>SUMIF('Week1'!$A:$A,$A149,'Week1'!$K:$K)+SUMIF('Week2'!$A:$A,$A149,'Week2'!$K:$K)+SUMIF('Week3'!$A:$A,$A149,'Week3'!$K:$K)+SUMIF('Week4'!$A:$A,$A149,'Week4'!$K:$K)</f>
        <v/>
      </c>
    </row>
    <row r="150">
      <c r="A150" s="6" t="inlineStr">
        <is>
          <t>USHABEN BHARAT</t>
        </is>
      </c>
      <c r="B150" s="6" t="inlineStr">
        <is>
          <t>PROD BELT</t>
        </is>
      </c>
      <c r="C150" s="7" t="n">
        <v>646</v>
      </c>
      <c r="D150" s="7">
        <f>SUMIF('Week1'!$A:$A,$A150,'Week1'!$D:$D)+SUMIF('Week2'!$A:$A,$A150,'Week2'!$D:$D)+SUMIF('Week3'!$A:$A,$A150,'Week3'!$D:$D)+SUMIF('Week4'!$A:$A,$A150,'Week4'!$D:$D)</f>
        <v/>
      </c>
      <c r="E150" s="7">
        <f>SUMIF('Week1'!$A:$A,$A150,'Week1'!$E:$E)+SUMIF('Week2'!$A:$A,$A150,'Week2'!$E:$E)+SUMIF('Week3'!$A:$A,$A150,'Week3'!$E:$E)+SUMIF('Week4'!$A:$A,$A150,'Week4'!$E:$E)</f>
        <v/>
      </c>
      <c r="F150" s="7">
        <f>SUMIF('Week1'!$A:$A,$A150,'Week1'!$F:$F)+SUMIF('Week2'!$A:$A,$A150,'Week2'!$F:$F)+SUMIF('Week3'!$A:$A,$A150,'Week3'!$F:$F)+SUMIF('Week4'!$A:$A,$A150,'Week4'!$F:$F)</f>
        <v/>
      </c>
      <c r="G150" s="7">
        <f>SUMIF('Week1'!$A:$A,$A150,'Week1'!$G:$G)+SUMIF('Week2'!$A:$A,$A150,'Week2'!$G:$G)+SUMIF('Week3'!$A:$A,$A150,'Week3'!$G:$G)+SUMIF('Week4'!$A:$A,$A150,'Week4'!$G:$G)</f>
        <v/>
      </c>
      <c r="H150" s="7">
        <f>SUMIF('Week1'!$A:$A,$A150,'Week1'!$H:$H)+SUMIF('Week2'!$A:$A,$A150,'Week2'!$H:$H)+SUMIF('Week3'!$A:$A,$A150,'Week3'!$H:$H)+SUMIF('Week4'!$A:$A,$A150,'Week4'!$H:$H)</f>
        <v/>
      </c>
      <c r="I150" s="7">
        <f>SUMIF('Week1'!$A:$A,$A150,'Week1'!$I:$I)+SUMIF('Week2'!$A:$A,$A150,'Week2'!$I:$I)+SUMIF('Week3'!$A:$A,$A150,'Week3'!$I:$I)+SUMIF('Week4'!$A:$A,$A150,'Week4'!$I:$I)</f>
        <v/>
      </c>
      <c r="J150" s="7">
        <f>SUMIF('Week1'!$A:$A,$A150,'Week1'!$J:$J)+SUMIF('Week2'!$A:$A,$A150,'Week2'!$J:$J)+SUMIF('Week3'!$A:$A,$A150,'Week3'!$J:$J)+SUMIF('Week4'!$A:$A,$A150,'Week4'!$J:$J)</f>
        <v/>
      </c>
      <c r="K150" s="7">
        <f>SUMIF('Week1'!$A:$A,$A150,'Week1'!$K:$K)+SUMIF('Week2'!$A:$A,$A150,'Week2'!$K:$K)+SUMIF('Week3'!$A:$A,$A150,'Week3'!$K:$K)+SUMIF('Week4'!$A:$A,$A150,'Week4'!$K:$K)</f>
        <v/>
      </c>
    </row>
    <row r="151">
      <c r="A151" s="6" t="inlineStr">
        <is>
          <t>VIDYA PATEL</t>
        </is>
      </c>
      <c r="B151" s="6" t="inlineStr">
        <is>
          <t>PROD BELT</t>
        </is>
      </c>
      <c r="C151" s="7" t="n">
        <v>18</v>
      </c>
      <c r="D151" s="7">
        <f>SUMIF('Week1'!$A:$A,$A151,'Week1'!$D:$D)+SUMIF('Week2'!$A:$A,$A151,'Week2'!$D:$D)+SUMIF('Week3'!$A:$A,$A151,'Week3'!$D:$D)+SUMIF('Week4'!$A:$A,$A151,'Week4'!$D:$D)</f>
        <v/>
      </c>
      <c r="E151" s="7">
        <f>SUMIF('Week1'!$A:$A,$A151,'Week1'!$E:$E)+SUMIF('Week2'!$A:$A,$A151,'Week2'!$E:$E)+SUMIF('Week3'!$A:$A,$A151,'Week3'!$E:$E)+SUMIF('Week4'!$A:$A,$A151,'Week4'!$E:$E)</f>
        <v/>
      </c>
      <c r="F151" s="7">
        <f>SUMIF('Week1'!$A:$A,$A151,'Week1'!$F:$F)+SUMIF('Week2'!$A:$A,$A151,'Week2'!$F:$F)+SUMIF('Week3'!$A:$A,$A151,'Week3'!$F:$F)+SUMIF('Week4'!$A:$A,$A151,'Week4'!$F:$F)</f>
        <v/>
      </c>
      <c r="G151" s="7">
        <f>SUMIF('Week1'!$A:$A,$A151,'Week1'!$G:$G)+SUMIF('Week2'!$A:$A,$A151,'Week2'!$G:$G)+SUMIF('Week3'!$A:$A,$A151,'Week3'!$G:$G)+SUMIF('Week4'!$A:$A,$A151,'Week4'!$G:$G)</f>
        <v/>
      </c>
      <c r="H151" s="7">
        <f>SUMIF('Week1'!$A:$A,$A151,'Week1'!$H:$H)+SUMIF('Week2'!$A:$A,$A151,'Week2'!$H:$H)+SUMIF('Week3'!$A:$A,$A151,'Week3'!$H:$H)+SUMIF('Week4'!$A:$A,$A151,'Week4'!$H:$H)</f>
        <v/>
      </c>
      <c r="I151" s="7">
        <f>SUMIF('Week1'!$A:$A,$A151,'Week1'!$I:$I)+SUMIF('Week2'!$A:$A,$A151,'Week2'!$I:$I)+SUMIF('Week3'!$A:$A,$A151,'Week3'!$I:$I)+SUMIF('Week4'!$A:$A,$A151,'Week4'!$I:$I)</f>
        <v/>
      </c>
      <c r="J151" s="7">
        <f>SUMIF('Week1'!$A:$A,$A151,'Week1'!$J:$J)+SUMIF('Week2'!$A:$A,$A151,'Week2'!$J:$J)+SUMIF('Week3'!$A:$A,$A151,'Week3'!$J:$J)+SUMIF('Week4'!$A:$A,$A151,'Week4'!$J:$J)</f>
        <v/>
      </c>
      <c r="K151" s="7">
        <f>SUMIF('Week1'!$A:$A,$A151,'Week1'!$K:$K)+SUMIF('Week2'!$A:$A,$A151,'Week2'!$K:$K)+SUMIF('Week3'!$A:$A,$A151,'Week3'!$K:$K)+SUMIF('Week4'!$A:$A,$A151,'Week4'!$K:$K)</f>
        <v/>
      </c>
    </row>
    <row r="152">
      <c r="A152" s="6" t="inlineStr">
        <is>
          <t>LILA DEVI THAPA</t>
        </is>
      </c>
      <c r="B152" s="6" t="inlineStr">
        <is>
          <t>PROD BELT</t>
        </is>
      </c>
      <c r="C152" s="7" t="n">
        <v>645</v>
      </c>
      <c r="D152" s="7">
        <f>SUMIF('Week1'!$A:$A,$A152,'Week1'!$D:$D)+SUMIF('Week2'!$A:$A,$A152,'Week2'!$D:$D)+SUMIF('Week3'!$A:$A,$A152,'Week3'!$D:$D)+SUMIF('Week4'!$A:$A,$A152,'Week4'!$D:$D)</f>
        <v/>
      </c>
      <c r="E152" s="7">
        <f>SUMIF('Week1'!$A:$A,$A152,'Week1'!$E:$E)+SUMIF('Week2'!$A:$A,$A152,'Week2'!$E:$E)+SUMIF('Week3'!$A:$A,$A152,'Week3'!$E:$E)+SUMIF('Week4'!$A:$A,$A152,'Week4'!$E:$E)</f>
        <v/>
      </c>
      <c r="F152" s="7">
        <f>SUMIF('Week1'!$A:$A,$A152,'Week1'!$F:$F)+SUMIF('Week2'!$A:$A,$A152,'Week2'!$F:$F)+SUMIF('Week3'!$A:$A,$A152,'Week3'!$F:$F)+SUMIF('Week4'!$A:$A,$A152,'Week4'!$F:$F)</f>
        <v/>
      </c>
      <c r="G152" s="7">
        <f>SUMIF('Week1'!$A:$A,$A152,'Week1'!$G:$G)+SUMIF('Week2'!$A:$A,$A152,'Week2'!$G:$G)+SUMIF('Week3'!$A:$A,$A152,'Week3'!$G:$G)+SUMIF('Week4'!$A:$A,$A152,'Week4'!$G:$G)</f>
        <v/>
      </c>
      <c r="H152" s="7">
        <f>SUMIF('Week1'!$A:$A,$A152,'Week1'!$H:$H)+SUMIF('Week2'!$A:$A,$A152,'Week2'!$H:$H)+SUMIF('Week3'!$A:$A,$A152,'Week3'!$H:$H)+SUMIF('Week4'!$A:$A,$A152,'Week4'!$H:$H)</f>
        <v/>
      </c>
      <c r="I152" s="7">
        <f>SUMIF('Week1'!$A:$A,$A152,'Week1'!$I:$I)+SUMIF('Week2'!$A:$A,$A152,'Week2'!$I:$I)+SUMIF('Week3'!$A:$A,$A152,'Week3'!$I:$I)+SUMIF('Week4'!$A:$A,$A152,'Week4'!$I:$I)</f>
        <v/>
      </c>
      <c r="J152" s="7">
        <f>SUMIF('Week1'!$A:$A,$A152,'Week1'!$J:$J)+SUMIF('Week2'!$A:$A,$A152,'Week2'!$J:$J)+SUMIF('Week3'!$A:$A,$A152,'Week3'!$J:$J)+SUMIF('Week4'!$A:$A,$A152,'Week4'!$J:$J)</f>
        <v/>
      </c>
      <c r="K152" s="7">
        <f>SUMIF('Week1'!$A:$A,$A152,'Week1'!$K:$K)+SUMIF('Week2'!$A:$A,$A152,'Week2'!$K:$K)+SUMIF('Week3'!$A:$A,$A152,'Week3'!$K:$K)+SUMIF('Week4'!$A:$A,$A152,'Week4'!$K:$K)</f>
        <v/>
      </c>
    </row>
    <row r="153">
      <c r="A153" s="6" t="inlineStr">
        <is>
          <t>JAGRUTI DEVJI</t>
        </is>
      </c>
      <c r="B153" s="6" t="inlineStr">
        <is>
          <t>PROD BELT</t>
        </is>
      </c>
      <c r="C153" s="7" t="n">
        <v>662</v>
      </c>
      <c r="D153" s="7">
        <f>SUMIF('Week1'!$A:$A,$A153,'Week1'!$D:$D)+SUMIF('Week2'!$A:$A,$A153,'Week2'!$D:$D)+SUMIF('Week3'!$A:$A,$A153,'Week3'!$D:$D)+SUMIF('Week4'!$A:$A,$A153,'Week4'!$D:$D)</f>
        <v/>
      </c>
      <c r="E153" s="7">
        <f>SUMIF('Week1'!$A:$A,$A153,'Week1'!$E:$E)+SUMIF('Week2'!$A:$A,$A153,'Week2'!$E:$E)+SUMIF('Week3'!$A:$A,$A153,'Week3'!$E:$E)+SUMIF('Week4'!$A:$A,$A153,'Week4'!$E:$E)</f>
        <v/>
      </c>
      <c r="F153" s="7">
        <f>SUMIF('Week1'!$A:$A,$A153,'Week1'!$F:$F)+SUMIF('Week2'!$A:$A,$A153,'Week2'!$F:$F)+SUMIF('Week3'!$A:$A,$A153,'Week3'!$F:$F)+SUMIF('Week4'!$A:$A,$A153,'Week4'!$F:$F)</f>
        <v/>
      </c>
      <c r="G153" s="7">
        <f>SUMIF('Week1'!$A:$A,$A153,'Week1'!$G:$G)+SUMIF('Week2'!$A:$A,$A153,'Week2'!$G:$G)+SUMIF('Week3'!$A:$A,$A153,'Week3'!$G:$G)+SUMIF('Week4'!$A:$A,$A153,'Week4'!$G:$G)</f>
        <v/>
      </c>
      <c r="H153" s="7">
        <f>SUMIF('Week1'!$A:$A,$A153,'Week1'!$H:$H)+SUMIF('Week2'!$A:$A,$A153,'Week2'!$H:$H)+SUMIF('Week3'!$A:$A,$A153,'Week3'!$H:$H)+SUMIF('Week4'!$A:$A,$A153,'Week4'!$H:$H)</f>
        <v/>
      </c>
      <c r="I153" s="7">
        <f>SUMIF('Week1'!$A:$A,$A153,'Week1'!$I:$I)+SUMIF('Week2'!$A:$A,$A153,'Week2'!$I:$I)+SUMIF('Week3'!$A:$A,$A153,'Week3'!$I:$I)+SUMIF('Week4'!$A:$A,$A153,'Week4'!$I:$I)</f>
        <v/>
      </c>
      <c r="J153" s="7">
        <f>SUMIF('Week1'!$A:$A,$A153,'Week1'!$J:$J)+SUMIF('Week2'!$A:$A,$A153,'Week2'!$J:$J)+SUMIF('Week3'!$A:$A,$A153,'Week3'!$J:$J)+SUMIF('Week4'!$A:$A,$A153,'Week4'!$J:$J)</f>
        <v/>
      </c>
      <c r="K153" s="7">
        <f>SUMIF('Week1'!$A:$A,$A153,'Week1'!$K:$K)+SUMIF('Week2'!$A:$A,$A153,'Week2'!$K:$K)+SUMIF('Week3'!$A:$A,$A153,'Week3'!$K:$K)+SUMIF('Week4'!$A:$A,$A153,'Week4'!$K:$K)</f>
        <v/>
      </c>
    </row>
    <row r="154">
      <c r="A154" s="6" t="inlineStr">
        <is>
          <t>LALJI GIVA</t>
        </is>
      </c>
      <c r="B154" s="6" t="inlineStr">
        <is>
          <t>PROD BELT</t>
        </is>
      </c>
      <c r="C154" s="7" t="n">
        <v>584</v>
      </c>
      <c r="D154" s="7">
        <f>SUMIF('Week1'!$A:$A,$A154,'Week1'!$D:$D)+SUMIF('Week2'!$A:$A,$A154,'Week2'!$D:$D)+SUMIF('Week3'!$A:$A,$A154,'Week3'!$D:$D)+SUMIF('Week4'!$A:$A,$A154,'Week4'!$D:$D)</f>
        <v/>
      </c>
      <c r="E154" s="7">
        <f>SUMIF('Week1'!$A:$A,$A154,'Week1'!$E:$E)+SUMIF('Week2'!$A:$A,$A154,'Week2'!$E:$E)+SUMIF('Week3'!$A:$A,$A154,'Week3'!$E:$E)+SUMIF('Week4'!$A:$A,$A154,'Week4'!$E:$E)</f>
        <v/>
      </c>
      <c r="F154" s="7">
        <f>SUMIF('Week1'!$A:$A,$A154,'Week1'!$F:$F)+SUMIF('Week2'!$A:$A,$A154,'Week2'!$F:$F)+SUMIF('Week3'!$A:$A,$A154,'Week3'!$F:$F)+SUMIF('Week4'!$A:$A,$A154,'Week4'!$F:$F)</f>
        <v/>
      </c>
      <c r="G154" s="7">
        <f>SUMIF('Week1'!$A:$A,$A154,'Week1'!$G:$G)+SUMIF('Week2'!$A:$A,$A154,'Week2'!$G:$G)+SUMIF('Week3'!$A:$A,$A154,'Week3'!$G:$G)+SUMIF('Week4'!$A:$A,$A154,'Week4'!$G:$G)</f>
        <v/>
      </c>
      <c r="H154" s="7">
        <f>SUMIF('Week1'!$A:$A,$A154,'Week1'!$H:$H)+SUMIF('Week2'!$A:$A,$A154,'Week2'!$H:$H)+SUMIF('Week3'!$A:$A,$A154,'Week3'!$H:$H)+SUMIF('Week4'!$A:$A,$A154,'Week4'!$H:$H)</f>
        <v/>
      </c>
      <c r="I154" s="7">
        <f>SUMIF('Week1'!$A:$A,$A154,'Week1'!$I:$I)+SUMIF('Week2'!$A:$A,$A154,'Week2'!$I:$I)+SUMIF('Week3'!$A:$A,$A154,'Week3'!$I:$I)+SUMIF('Week4'!$A:$A,$A154,'Week4'!$I:$I)</f>
        <v/>
      </c>
      <c r="J154" s="7">
        <f>SUMIF('Week1'!$A:$A,$A154,'Week1'!$J:$J)+SUMIF('Week2'!$A:$A,$A154,'Week2'!$J:$J)+SUMIF('Week3'!$A:$A,$A154,'Week3'!$J:$J)+SUMIF('Week4'!$A:$A,$A154,'Week4'!$J:$J)</f>
        <v/>
      </c>
      <c r="K154" s="7">
        <f>SUMIF('Week1'!$A:$A,$A154,'Week1'!$K:$K)+SUMIF('Week2'!$A:$A,$A154,'Week2'!$K:$K)+SUMIF('Week3'!$A:$A,$A154,'Week3'!$K:$K)+SUMIF('Week4'!$A:$A,$A154,'Week4'!$K:$K)</f>
        <v/>
      </c>
    </row>
    <row r="155">
      <c r="A155" s="6" t="inlineStr">
        <is>
          <t>BIJAYTA GURUNG</t>
        </is>
      </c>
      <c r="B155" s="6" t="inlineStr">
        <is>
          <t>PROD BELT</t>
        </is>
      </c>
      <c r="C155" s="7" t="n">
        <v>40</v>
      </c>
      <c r="D155" s="7">
        <f>SUMIF('Week1'!$A:$A,$A155,'Week1'!$D:$D)+SUMIF('Week2'!$A:$A,$A155,'Week2'!$D:$D)+SUMIF('Week3'!$A:$A,$A155,'Week3'!$D:$D)+SUMIF('Week4'!$A:$A,$A155,'Week4'!$D:$D)</f>
        <v/>
      </c>
      <c r="E155" s="7">
        <f>SUMIF('Week1'!$A:$A,$A155,'Week1'!$E:$E)+SUMIF('Week2'!$A:$A,$A155,'Week2'!$E:$E)+SUMIF('Week3'!$A:$A,$A155,'Week3'!$E:$E)+SUMIF('Week4'!$A:$A,$A155,'Week4'!$E:$E)</f>
        <v/>
      </c>
      <c r="F155" s="7">
        <f>SUMIF('Week1'!$A:$A,$A155,'Week1'!$F:$F)+SUMIF('Week2'!$A:$A,$A155,'Week2'!$F:$F)+SUMIF('Week3'!$A:$A,$A155,'Week3'!$F:$F)+SUMIF('Week4'!$A:$A,$A155,'Week4'!$F:$F)</f>
        <v/>
      </c>
      <c r="G155" s="7">
        <f>SUMIF('Week1'!$A:$A,$A155,'Week1'!$G:$G)+SUMIF('Week2'!$A:$A,$A155,'Week2'!$G:$G)+SUMIF('Week3'!$A:$A,$A155,'Week3'!$G:$G)+SUMIF('Week4'!$A:$A,$A155,'Week4'!$G:$G)</f>
        <v/>
      </c>
      <c r="H155" s="7">
        <f>SUMIF('Week1'!$A:$A,$A155,'Week1'!$H:$H)+SUMIF('Week2'!$A:$A,$A155,'Week2'!$H:$H)+SUMIF('Week3'!$A:$A,$A155,'Week3'!$H:$H)+SUMIF('Week4'!$A:$A,$A155,'Week4'!$H:$H)</f>
        <v/>
      </c>
      <c r="I155" s="7">
        <f>SUMIF('Week1'!$A:$A,$A155,'Week1'!$I:$I)+SUMIF('Week2'!$A:$A,$A155,'Week2'!$I:$I)+SUMIF('Week3'!$A:$A,$A155,'Week3'!$I:$I)+SUMIF('Week4'!$A:$A,$A155,'Week4'!$I:$I)</f>
        <v/>
      </c>
      <c r="J155" s="7">
        <f>SUMIF('Week1'!$A:$A,$A155,'Week1'!$J:$J)+SUMIF('Week2'!$A:$A,$A155,'Week2'!$J:$J)+SUMIF('Week3'!$A:$A,$A155,'Week3'!$J:$J)+SUMIF('Week4'!$A:$A,$A155,'Week4'!$J:$J)</f>
        <v/>
      </c>
      <c r="K155" s="7">
        <f>SUMIF('Week1'!$A:$A,$A155,'Week1'!$K:$K)+SUMIF('Week2'!$A:$A,$A155,'Week2'!$K:$K)+SUMIF('Week3'!$A:$A,$A155,'Week3'!$K:$K)+SUMIF('Week4'!$A:$A,$A155,'Week4'!$K:$K)</f>
        <v/>
      </c>
    </row>
    <row r="156">
      <c r="A156" s="6" t="inlineStr">
        <is>
          <t>JAMNABEN KANJI</t>
        </is>
      </c>
      <c r="B156" s="6" t="inlineStr">
        <is>
          <t>PROD BELT</t>
        </is>
      </c>
      <c r="C156" s="7" t="n">
        <v>756</v>
      </c>
      <c r="D156" s="7">
        <f>SUMIF('Week1'!$A:$A,$A156,'Week1'!$D:$D)+SUMIF('Week2'!$A:$A,$A156,'Week2'!$D:$D)+SUMIF('Week3'!$A:$A,$A156,'Week3'!$D:$D)+SUMIF('Week4'!$A:$A,$A156,'Week4'!$D:$D)</f>
        <v/>
      </c>
      <c r="E156" s="7">
        <f>SUMIF('Week1'!$A:$A,$A156,'Week1'!$E:$E)+SUMIF('Week2'!$A:$A,$A156,'Week2'!$E:$E)+SUMIF('Week3'!$A:$A,$A156,'Week3'!$E:$E)+SUMIF('Week4'!$A:$A,$A156,'Week4'!$E:$E)</f>
        <v/>
      </c>
      <c r="F156" s="7">
        <f>SUMIF('Week1'!$A:$A,$A156,'Week1'!$F:$F)+SUMIF('Week2'!$A:$A,$A156,'Week2'!$F:$F)+SUMIF('Week3'!$A:$A,$A156,'Week3'!$F:$F)+SUMIF('Week4'!$A:$A,$A156,'Week4'!$F:$F)</f>
        <v/>
      </c>
      <c r="G156" s="7">
        <f>SUMIF('Week1'!$A:$A,$A156,'Week1'!$G:$G)+SUMIF('Week2'!$A:$A,$A156,'Week2'!$G:$G)+SUMIF('Week3'!$A:$A,$A156,'Week3'!$G:$G)+SUMIF('Week4'!$A:$A,$A156,'Week4'!$G:$G)</f>
        <v/>
      </c>
      <c r="H156" s="7">
        <f>SUMIF('Week1'!$A:$A,$A156,'Week1'!$H:$H)+SUMIF('Week2'!$A:$A,$A156,'Week2'!$H:$H)+SUMIF('Week3'!$A:$A,$A156,'Week3'!$H:$H)+SUMIF('Week4'!$A:$A,$A156,'Week4'!$H:$H)</f>
        <v/>
      </c>
      <c r="I156" s="7">
        <f>SUMIF('Week1'!$A:$A,$A156,'Week1'!$I:$I)+SUMIF('Week2'!$A:$A,$A156,'Week2'!$I:$I)+SUMIF('Week3'!$A:$A,$A156,'Week3'!$I:$I)+SUMIF('Week4'!$A:$A,$A156,'Week4'!$I:$I)</f>
        <v/>
      </c>
      <c r="J156" s="7">
        <f>SUMIF('Week1'!$A:$A,$A156,'Week1'!$J:$J)+SUMIF('Week2'!$A:$A,$A156,'Week2'!$J:$J)+SUMIF('Week3'!$A:$A,$A156,'Week3'!$J:$J)+SUMIF('Week4'!$A:$A,$A156,'Week4'!$J:$J)</f>
        <v/>
      </c>
      <c r="K156" s="7">
        <f>SUMIF('Week1'!$A:$A,$A156,'Week1'!$K:$K)+SUMIF('Week2'!$A:$A,$A156,'Week2'!$K:$K)+SUMIF('Week3'!$A:$A,$A156,'Week3'!$K:$K)+SUMIF('Week4'!$A:$A,$A156,'Week4'!$K:$K)</f>
        <v/>
      </c>
    </row>
    <row r="157">
      <c r="A157" s="6" t="inlineStr">
        <is>
          <t>EVA KECZAN</t>
        </is>
      </c>
      <c r="B157" s="6" t="inlineStr">
        <is>
          <t>PROD BELT</t>
        </is>
      </c>
      <c r="C157" s="7" t="n">
        <v>204</v>
      </c>
      <c r="D157" s="7">
        <f>SUMIF('Week1'!$A:$A,$A157,'Week1'!$D:$D)+SUMIF('Week2'!$A:$A,$A157,'Week2'!$D:$D)+SUMIF('Week3'!$A:$A,$A157,'Week3'!$D:$D)+SUMIF('Week4'!$A:$A,$A157,'Week4'!$D:$D)</f>
        <v/>
      </c>
      <c r="E157" s="7">
        <f>SUMIF('Week1'!$A:$A,$A157,'Week1'!$E:$E)+SUMIF('Week2'!$A:$A,$A157,'Week2'!$E:$E)+SUMIF('Week3'!$A:$A,$A157,'Week3'!$E:$E)+SUMIF('Week4'!$A:$A,$A157,'Week4'!$E:$E)</f>
        <v/>
      </c>
      <c r="F157" s="7">
        <f>SUMIF('Week1'!$A:$A,$A157,'Week1'!$F:$F)+SUMIF('Week2'!$A:$A,$A157,'Week2'!$F:$F)+SUMIF('Week3'!$A:$A,$A157,'Week3'!$F:$F)+SUMIF('Week4'!$A:$A,$A157,'Week4'!$F:$F)</f>
        <v/>
      </c>
      <c r="G157" s="7">
        <f>SUMIF('Week1'!$A:$A,$A157,'Week1'!$G:$G)+SUMIF('Week2'!$A:$A,$A157,'Week2'!$G:$G)+SUMIF('Week3'!$A:$A,$A157,'Week3'!$G:$G)+SUMIF('Week4'!$A:$A,$A157,'Week4'!$G:$G)</f>
        <v/>
      </c>
      <c r="H157" s="7">
        <f>SUMIF('Week1'!$A:$A,$A157,'Week1'!$H:$H)+SUMIF('Week2'!$A:$A,$A157,'Week2'!$H:$H)+SUMIF('Week3'!$A:$A,$A157,'Week3'!$H:$H)+SUMIF('Week4'!$A:$A,$A157,'Week4'!$H:$H)</f>
        <v/>
      </c>
      <c r="I157" s="7">
        <f>SUMIF('Week1'!$A:$A,$A157,'Week1'!$I:$I)+SUMIF('Week2'!$A:$A,$A157,'Week2'!$I:$I)+SUMIF('Week3'!$A:$A,$A157,'Week3'!$I:$I)+SUMIF('Week4'!$A:$A,$A157,'Week4'!$I:$I)</f>
        <v/>
      </c>
      <c r="J157" s="7">
        <f>SUMIF('Week1'!$A:$A,$A157,'Week1'!$J:$J)+SUMIF('Week2'!$A:$A,$A157,'Week2'!$J:$J)+SUMIF('Week3'!$A:$A,$A157,'Week3'!$J:$J)+SUMIF('Week4'!$A:$A,$A157,'Week4'!$J:$J)</f>
        <v/>
      </c>
      <c r="K157" s="7">
        <f>SUMIF('Week1'!$A:$A,$A157,'Week1'!$K:$K)+SUMIF('Week2'!$A:$A,$A157,'Week2'!$K:$K)+SUMIF('Week3'!$A:$A,$A157,'Week3'!$K:$K)+SUMIF('Week4'!$A:$A,$A157,'Week4'!$K:$K)</f>
        <v/>
      </c>
    </row>
    <row r="158">
      <c r="A158" s="6" t="inlineStr">
        <is>
          <t>MINABEN MAHENDRA</t>
        </is>
      </c>
      <c r="B158" s="6" t="inlineStr">
        <is>
          <t>PROD BELT</t>
        </is>
      </c>
      <c r="C158" s="7" t="n">
        <v>746</v>
      </c>
      <c r="D158" s="7">
        <f>SUMIF('Week1'!$A:$A,$A158,'Week1'!$D:$D)+SUMIF('Week2'!$A:$A,$A158,'Week2'!$D:$D)+SUMIF('Week3'!$A:$A,$A158,'Week3'!$D:$D)+SUMIF('Week4'!$A:$A,$A158,'Week4'!$D:$D)</f>
        <v/>
      </c>
      <c r="E158" s="7">
        <f>SUMIF('Week1'!$A:$A,$A158,'Week1'!$E:$E)+SUMIF('Week2'!$A:$A,$A158,'Week2'!$E:$E)+SUMIF('Week3'!$A:$A,$A158,'Week3'!$E:$E)+SUMIF('Week4'!$A:$A,$A158,'Week4'!$E:$E)</f>
        <v/>
      </c>
      <c r="F158" s="7">
        <f>SUMIF('Week1'!$A:$A,$A158,'Week1'!$F:$F)+SUMIF('Week2'!$A:$A,$A158,'Week2'!$F:$F)+SUMIF('Week3'!$A:$A,$A158,'Week3'!$F:$F)+SUMIF('Week4'!$A:$A,$A158,'Week4'!$F:$F)</f>
        <v/>
      </c>
      <c r="G158" s="7">
        <f>SUMIF('Week1'!$A:$A,$A158,'Week1'!$G:$G)+SUMIF('Week2'!$A:$A,$A158,'Week2'!$G:$G)+SUMIF('Week3'!$A:$A,$A158,'Week3'!$G:$G)+SUMIF('Week4'!$A:$A,$A158,'Week4'!$G:$G)</f>
        <v/>
      </c>
      <c r="H158" s="7">
        <f>SUMIF('Week1'!$A:$A,$A158,'Week1'!$H:$H)+SUMIF('Week2'!$A:$A,$A158,'Week2'!$H:$H)+SUMIF('Week3'!$A:$A,$A158,'Week3'!$H:$H)+SUMIF('Week4'!$A:$A,$A158,'Week4'!$H:$H)</f>
        <v/>
      </c>
      <c r="I158" s="7">
        <f>SUMIF('Week1'!$A:$A,$A158,'Week1'!$I:$I)+SUMIF('Week2'!$A:$A,$A158,'Week2'!$I:$I)+SUMIF('Week3'!$A:$A,$A158,'Week3'!$I:$I)+SUMIF('Week4'!$A:$A,$A158,'Week4'!$I:$I)</f>
        <v/>
      </c>
      <c r="J158" s="7">
        <f>SUMIF('Week1'!$A:$A,$A158,'Week1'!$J:$J)+SUMIF('Week2'!$A:$A,$A158,'Week2'!$J:$J)+SUMIF('Week3'!$A:$A,$A158,'Week3'!$J:$J)+SUMIF('Week4'!$A:$A,$A158,'Week4'!$J:$J)</f>
        <v/>
      </c>
      <c r="K158" s="7">
        <f>SUMIF('Week1'!$A:$A,$A158,'Week1'!$K:$K)+SUMIF('Week2'!$A:$A,$A158,'Week2'!$K:$K)+SUMIF('Week3'!$A:$A,$A158,'Week3'!$K:$K)+SUMIF('Week4'!$A:$A,$A158,'Week4'!$K:$K)</f>
        <v/>
      </c>
    </row>
    <row r="159">
      <c r="A159" s="6" t="inlineStr">
        <is>
          <t>VICKY PILLAIYANAR</t>
        </is>
      </c>
      <c r="B159" s="6" t="inlineStr">
        <is>
          <t>PROD BELT</t>
        </is>
      </c>
      <c r="C159" s="7" t="n">
        <v>150</v>
      </c>
      <c r="D159" s="7">
        <f>SUMIF('Week1'!$A:$A,$A159,'Week1'!$D:$D)+SUMIF('Week2'!$A:$A,$A159,'Week2'!$D:$D)+SUMIF('Week3'!$A:$A,$A159,'Week3'!$D:$D)+SUMIF('Week4'!$A:$A,$A159,'Week4'!$D:$D)</f>
        <v/>
      </c>
      <c r="E159" s="7">
        <f>SUMIF('Week1'!$A:$A,$A159,'Week1'!$E:$E)+SUMIF('Week2'!$A:$A,$A159,'Week2'!$E:$E)+SUMIF('Week3'!$A:$A,$A159,'Week3'!$E:$E)+SUMIF('Week4'!$A:$A,$A159,'Week4'!$E:$E)</f>
        <v/>
      </c>
      <c r="F159" s="7">
        <f>SUMIF('Week1'!$A:$A,$A159,'Week1'!$F:$F)+SUMIF('Week2'!$A:$A,$A159,'Week2'!$F:$F)+SUMIF('Week3'!$A:$A,$A159,'Week3'!$F:$F)+SUMIF('Week4'!$A:$A,$A159,'Week4'!$F:$F)</f>
        <v/>
      </c>
      <c r="G159" s="7">
        <f>SUMIF('Week1'!$A:$A,$A159,'Week1'!$G:$G)+SUMIF('Week2'!$A:$A,$A159,'Week2'!$G:$G)+SUMIF('Week3'!$A:$A,$A159,'Week3'!$G:$G)+SUMIF('Week4'!$A:$A,$A159,'Week4'!$G:$G)</f>
        <v/>
      </c>
      <c r="H159" s="7">
        <f>SUMIF('Week1'!$A:$A,$A159,'Week1'!$H:$H)+SUMIF('Week2'!$A:$A,$A159,'Week2'!$H:$H)+SUMIF('Week3'!$A:$A,$A159,'Week3'!$H:$H)+SUMIF('Week4'!$A:$A,$A159,'Week4'!$H:$H)</f>
        <v/>
      </c>
      <c r="I159" s="7">
        <f>SUMIF('Week1'!$A:$A,$A159,'Week1'!$I:$I)+SUMIF('Week2'!$A:$A,$A159,'Week2'!$I:$I)+SUMIF('Week3'!$A:$A,$A159,'Week3'!$I:$I)+SUMIF('Week4'!$A:$A,$A159,'Week4'!$I:$I)</f>
        <v/>
      </c>
      <c r="J159" s="7">
        <f>SUMIF('Week1'!$A:$A,$A159,'Week1'!$J:$J)+SUMIF('Week2'!$A:$A,$A159,'Week2'!$J:$J)+SUMIF('Week3'!$A:$A,$A159,'Week3'!$J:$J)+SUMIF('Week4'!$A:$A,$A159,'Week4'!$J:$J)</f>
        <v/>
      </c>
      <c r="K159" s="7">
        <f>SUMIF('Week1'!$A:$A,$A159,'Week1'!$K:$K)+SUMIF('Week2'!$A:$A,$A159,'Week2'!$K:$K)+SUMIF('Week3'!$A:$A,$A159,'Week3'!$K:$K)+SUMIF('Week4'!$A:$A,$A159,'Week4'!$K:$K)</f>
        <v/>
      </c>
    </row>
    <row r="160">
      <c r="A160" s="6" t="inlineStr">
        <is>
          <t>DAYABEN RAJA</t>
        </is>
      </c>
      <c r="B160" s="6" t="inlineStr">
        <is>
          <t>PROD BELT</t>
        </is>
      </c>
      <c r="C160" s="7" t="n">
        <v>550</v>
      </c>
      <c r="D160" s="7">
        <f>SUMIF('Week1'!$A:$A,$A160,'Week1'!$D:$D)+SUMIF('Week2'!$A:$A,$A160,'Week2'!$D:$D)+SUMIF('Week3'!$A:$A,$A160,'Week3'!$D:$D)+SUMIF('Week4'!$A:$A,$A160,'Week4'!$D:$D)</f>
        <v/>
      </c>
      <c r="E160" s="7">
        <f>SUMIF('Week1'!$A:$A,$A160,'Week1'!$E:$E)+SUMIF('Week2'!$A:$A,$A160,'Week2'!$E:$E)+SUMIF('Week3'!$A:$A,$A160,'Week3'!$E:$E)+SUMIF('Week4'!$A:$A,$A160,'Week4'!$E:$E)</f>
        <v/>
      </c>
      <c r="F160" s="7">
        <f>SUMIF('Week1'!$A:$A,$A160,'Week1'!$F:$F)+SUMIF('Week2'!$A:$A,$A160,'Week2'!$F:$F)+SUMIF('Week3'!$A:$A,$A160,'Week3'!$F:$F)+SUMIF('Week4'!$A:$A,$A160,'Week4'!$F:$F)</f>
        <v/>
      </c>
      <c r="G160" s="7">
        <f>SUMIF('Week1'!$A:$A,$A160,'Week1'!$G:$G)+SUMIF('Week2'!$A:$A,$A160,'Week2'!$G:$G)+SUMIF('Week3'!$A:$A,$A160,'Week3'!$G:$G)+SUMIF('Week4'!$A:$A,$A160,'Week4'!$G:$G)</f>
        <v/>
      </c>
      <c r="H160" s="7">
        <f>SUMIF('Week1'!$A:$A,$A160,'Week1'!$H:$H)+SUMIF('Week2'!$A:$A,$A160,'Week2'!$H:$H)+SUMIF('Week3'!$A:$A,$A160,'Week3'!$H:$H)+SUMIF('Week4'!$A:$A,$A160,'Week4'!$H:$H)</f>
        <v/>
      </c>
      <c r="I160" s="7">
        <f>SUMIF('Week1'!$A:$A,$A160,'Week1'!$I:$I)+SUMIF('Week2'!$A:$A,$A160,'Week2'!$I:$I)+SUMIF('Week3'!$A:$A,$A160,'Week3'!$I:$I)+SUMIF('Week4'!$A:$A,$A160,'Week4'!$I:$I)</f>
        <v/>
      </c>
      <c r="J160" s="7">
        <f>SUMIF('Week1'!$A:$A,$A160,'Week1'!$J:$J)+SUMIF('Week2'!$A:$A,$A160,'Week2'!$J:$J)+SUMIF('Week3'!$A:$A,$A160,'Week3'!$J:$J)+SUMIF('Week4'!$A:$A,$A160,'Week4'!$J:$J)</f>
        <v/>
      </c>
      <c r="K160" s="7">
        <f>SUMIF('Week1'!$A:$A,$A160,'Week1'!$K:$K)+SUMIF('Week2'!$A:$A,$A160,'Week2'!$K:$K)+SUMIF('Week3'!$A:$A,$A160,'Week3'!$K:$K)+SUMIF('Week4'!$A:$A,$A160,'Week4'!$K:$K)</f>
        <v/>
      </c>
    </row>
    <row r="161">
      <c r="A161" s="6" t="inlineStr">
        <is>
          <t>URVANSHI RAMESH</t>
        </is>
      </c>
      <c r="B161" s="6" t="inlineStr">
        <is>
          <t>PROD BELT</t>
        </is>
      </c>
      <c r="C161" s="7" t="n">
        <v>733</v>
      </c>
      <c r="D161" s="7">
        <f>SUMIF('Week1'!$A:$A,$A161,'Week1'!$D:$D)+SUMIF('Week2'!$A:$A,$A161,'Week2'!$D:$D)+SUMIF('Week3'!$A:$A,$A161,'Week3'!$D:$D)+SUMIF('Week4'!$A:$A,$A161,'Week4'!$D:$D)</f>
        <v/>
      </c>
      <c r="E161" s="7">
        <f>SUMIF('Week1'!$A:$A,$A161,'Week1'!$E:$E)+SUMIF('Week2'!$A:$A,$A161,'Week2'!$E:$E)+SUMIF('Week3'!$A:$A,$A161,'Week3'!$E:$E)+SUMIF('Week4'!$A:$A,$A161,'Week4'!$E:$E)</f>
        <v/>
      </c>
      <c r="F161" s="7">
        <f>SUMIF('Week1'!$A:$A,$A161,'Week1'!$F:$F)+SUMIF('Week2'!$A:$A,$A161,'Week2'!$F:$F)+SUMIF('Week3'!$A:$A,$A161,'Week3'!$F:$F)+SUMIF('Week4'!$A:$A,$A161,'Week4'!$F:$F)</f>
        <v/>
      </c>
      <c r="G161" s="7">
        <f>SUMIF('Week1'!$A:$A,$A161,'Week1'!$G:$G)+SUMIF('Week2'!$A:$A,$A161,'Week2'!$G:$G)+SUMIF('Week3'!$A:$A,$A161,'Week3'!$G:$G)+SUMIF('Week4'!$A:$A,$A161,'Week4'!$G:$G)</f>
        <v/>
      </c>
      <c r="H161" s="7">
        <f>SUMIF('Week1'!$A:$A,$A161,'Week1'!$H:$H)+SUMIF('Week2'!$A:$A,$A161,'Week2'!$H:$H)+SUMIF('Week3'!$A:$A,$A161,'Week3'!$H:$H)+SUMIF('Week4'!$A:$A,$A161,'Week4'!$H:$H)</f>
        <v/>
      </c>
      <c r="I161" s="7">
        <f>SUMIF('Week1'!$A:$A,$A161,'Week1'!$I:$I)+SUMIF('Week2'!$A:$A,$A161,'Week2'!$I:$I)+SUMIF('Week3'!$A:$A,$A161,'Week3'!$I:$I)+SUMIF('Week4'!$A:$A,$A161,'Week4'!$I:$I)</f>
        <v/>
      </c>
      <c r="J161" s="7">
        <f>SUMIF('Week1'!$A:$A,$A161,'Week1'!$J:$J)+SUMIF('Week2'!$A:$A,$A161,'Week2'!$J:$J)+SUMIF('Week3'!$A:$A,$A161,'Week3'!$J:$J)+SUMIF('Week4'!$A:$A,$A161,'Week4'!$J:$J)</f>
        <v/>
      </c>
      <c r="K161" s="7">
        <f>SUMIF('Week1'!$A:$A,$A161,'Week1'!$K:$K)+SUMIF('Week2'!$A:$A,$A161,'Week2'!$K:$K)+SUMIF('Week3'!$A:$A,$A161,'Week3'!$K:$K)+SUMIF('Week4'!$A:$A,$A161,'Week4'!$K:$K)</f>
        <v/>
      </c>
    </row>
    <row r="162">
      <c r="A162" s="6" t="inlineStr">
        <is>
          <t>URMILA SHRESTHA</t>
        </is>
      </c>
      <c r="B162" s="6" t="inlineStr">
        <is>
          <t>PROD BELT</t>
        </is>
      </c>
      <c r="C162" s="7" t="n">
        <v>330</v>
      </c>
      <c r="D162" s="7">
        <f>SUMIF('Week1'!$A:$A,$A162,'Week1'!$D:$D)+SUMIF('Week2'!$A:$A,$A162,'Week2'!$D:$D)+SUMIF('Week3'!$A:$A,$A162,'Week3'!$D:$D)+SUMIF('Week4'!$A:$A,$A162,'Week4'!$D:$D)</f>
        <v/>
      </c>
      <c r="E162" s="7">
        <f>SUMIF('Week1'!$A:$A,$A162,'Week1'!$E:$E)+SUMIF('Week2'!$A:$A,$A162,'Week2'!$E:$E)+SUMIF('Week3'!$A:$A,$A162,'Week3'!$E:$E)+SUMIF('Week4'!$A:$A,$A162,'Week4'!$E:$E)</f>
        <v/>
      </c>
      <c r="F162" s="7">
        <f>SUMIF('Week1'!$A:$A,$A162,'Week1'!$F:$F)+SUMIF('Week2'!$A:$A,$A162,'Week2'!$F:$F)+SUMIF('Week3'!$A:$A,$A162,'Week3'!$F:$F)+SUMIF('Week4'!$A:$A,$A162,'Week4'!$F:$F)</f>
        <v/>
      </c>
      <c r="G162" s="7">
        <f>SUMIF('Week1'!$A:$A,$A162,'Week1'!$G:$G)+SUMIF('Week2'!$A:$A,$A162,'Week2'!$G:$G)+SUMIF('Week3'!$A:$A,$A162,'Week3'!$G:$G)+SUMIF('Week4'!$A:$A,$A162,'Week4'!$G:$G)</f>
        <v/>
      </c>
      <c r="H162" s="7">
        <f>SUMIF('Week1'!$A:$A,$A162,'Week1'!$H:$H)+SUMIF('Week2'!$A:$A,$A162,'Week2'!$H:$H)+SUMIF('Week3'!$A:$A,$A162,'Week3'!$H:$H)+SUMIF('Week4'!$A:$A,$A162,'Week4'!$H:$H)</f>
        <v/>
      </c>
      <c r="I162" s="7">
        <f>SUMIF('Week1'!$A:$A,$A162,'Week1'!$I:$I)+SUMIF('Week2'!$A:$A,$A162,'Week2'!$I:$I)+SUMIF('Week3'!$A:$A,$A162,'Week3'!$I:$I)+SUMIF('Week4'!$A:$A,$A162,'Week4'!$I:$I)</f>
        <v/>
      </c>
      <c r="J162" s="7">
        <f>SUMIF('Week1'!$A:$A,$A162,'Week1'!$J:$J)+SUMIF('Week2'!$A:$A,$A162,'Week2'!$J:$J)+SUMIF('Week3'!$A:$A,$A162,'Week3'!$J:$J)+SUMIF('Week4'!$A:$A,$A162,'Week4'!$J:$J)</f>
        <v/>
      </c>
      <c r="K162" s="7">
        <f>SUMIF('Week1'!$A:$A,$A162,'Week1'!$K:$K)+SUMIF('Week2'!$A:$A,$A162,'Week2'!$K:$K)+SUMIF('Week3'!$A:$A,$A162,'Week3'!$K:$K)+SUMIF('Week4'!$A:$A,$A162,'Week4'!$K:$K)</f>
        <v/>
      </c>
    </row>
    <row r="163">
      <c r="A163" s="6" t="inlineStr">
        <is>
          <t>ALPA THAKKAR</t>
        </is>
      </c>
      <c r="B163" s="6" t="inlineStr">
        <is>
          <t>PROD BELT</t>
        </is>
      </c>
      <c r="C163" s="7" t="n">
        <v>50</v>
      </c>
      <c r="D163" s="7">
        <f>SUMIF('Week1'!$A:$A,$A163,'Week1'!$D:$D)+SUMIF('Week2'!$A:$A,$A163,'Week2'!$D:$D)+SUMIF('Week3'!$A:$A,$A163,'Week3'!$D:$D)+SUMIF('Week4'!$A:$A,$A163,'Week4'!$D:$D)</f>
        <v/>
      </c>
      <c r="E163" s="7">
        <f>SUMIF('Week1'!$A:$A,$A163,'Week1'!$E:$E)+SUMIF('Week2'!$A:$A,$A163,'Week2'!$E:$E)+SUMIF('Week3'!$A:$A,$A163,'Week3'!$E:$E)+SUMIF('Week4'!$A:$A,$A163,'Week4'!$E:$E)</f>
        <v/>
      </c>
      <c r="F163" s="7">
        <f>SUMIF('Week1'!$A:$A,$A163,'Week1'!$F:$F)+SUMIF('Week2'!$A:$A,$A163,'Week2'!$F:$F)+SUMIF('Week3'!$A:$A,$A163,'Week3'!$F:$F)+SUMIF('Week4'!$A:$A,$A163,'Week4'!$F:$F)</f>
        <v/>
      </c>
      <c r="G163" s="7">
        <f>SUMIF('Week1'!$A:$A,$A163,'Week1'!$G:$G)+SUMIF('Week2'!$A:$A,$A163,'Week2'!$G:$G)+SUMIF('Week3'!$A:$A,$A163,'Week3'!$G:$G)+SUMIF('Week4'!$A:$A,$A163,'Week4'!$G:$G)</f>
        <v/>
      </c>
      <c r="H163" s="7">
        <f>SUMIF('Week1'!$A:$A,$A163,'Week1'!$H:$H)+SUMIF('Week2'!$A:$A,$A163,'Week2'!$H:$H)+SUMIF('Week3'!$A:$A,$A163,'Week3'!$H:$H)+SUMIF('Week4'!$A:$A,$A163,'Week4'!$H:$H)</f>
        <v/>
      </c>
      <c r="I163" s="7">
        <f>SUMIF('Week1'!$A:$A,$A163,'Week1'!$I:$I)+SUMIF('Week2'!$A:$A,$A163,'Week2'!$I:$I)+SUMIF('Week3'!$A:$A,$A163,'Week3'!$I:$I)+SUMIF('Week4'!$A:$A,$A163,'Week4'!$I:$I)</f>
        <v/>
      </c>
      <c r="J163" s="7">
        <f>SUMIF('Week1'!$A:$A,$A163,'Week1'!$J:$J)+SUMIF('Week2'!$A:$A,$A163,'Week2'!$J:$J)+SUMIF('Week3'!$A:$A,$A163,'Week3'!$J:$J)+SUMIF('Week4'!$A:$A,$A163,'Week4'!$J:$J)</f>
        <v/>
      </c>
      <c r="K163" s="7">
        <f>SUMIF('Week1'!$A:$A,$A163,'Week1'!$K:$K)+SUMIF('Week2'!$A:$A,$A163,'Week2'!$K:$K)+SUMIF('Week3'!$A:$A,$A163,'Week3'!$K:$K)+SUMIF('Week4'!$A:$A,$A163,'Week4'!$K:$K)</f>
        <v/>
      </c>
    </row>
    <row r="164">
      <c r="A164" s="6" t="inlineStr">
        <is>
          <t>NISHA UCARO</t>
        </is>
      </c>
      <c r="B164" s="6" t="inlineStr">
        <is>
          <t>PROD BELT</t>
        </is>
      </c>
      <c r="C164" s="7" t="n">
        <v>663</v>
      </c>
      <c r="D164" s="7">
        <f>SUMIF('Week1'!$A:$A,$A164,'Week1'!$D:$D)+SUMIF('Week2'!$A:$A,$A164,'Week2'!$D:$D)+SUMIF('Week3'!$A:$A,$A164,'Week3'!$D:$D)+SUMIF('Week4'!$A:$A,$A164,'Week4'!$D:$D)</f>
        <v/>
      </c>
      <c r="E164" s="7">
        <f>SUMIF('Week1'!$A:$A,$A164,'Week1'!$E:$E)+SUMIF('Week2'!$A:$A,$A164,'Week2'!$E:$E)+SUMIF('Week3'!$A:$A,$A164,'Week3'!$E:$E)+SUMIF('Week4'!$A:$A,$A164,'Week4'!$E:$E)</f>
        <v/>
      </c>
      <c r="F164" s="7">
        <f>SUMIF('Week1'!$A:$A,$A164,'Week1'!$F:$F)+SUMIF('Week2'!$A:$A,$A164,'Week2'!$F:$F)+SUMIF('Week3'!$A:$A,$A164,'Week3'!$F:$F)+SUMIF('Week4'!$A:$A,$A164,'Week4'!$F:$F)</f>
        <v/>
      </c>
      <c r="G164" s="7">
        <f>SUMIF('Week1'!$A:$A,$A164,'Week1'!$G:$G)+SUMIF('Week2'!$A:$A,$A164,'Week2'!$G:$G)+SUMIF('Week3'!$A:$A,$A164,'Week3'!$G:$G)+SUMIF('Week4'!$A:$A,$A164,'Week4'!$G:$G)</f>
        <v/>
      </c>
      <c r="H164" s="7">
        <f>SUMIF('Week1'!$A:$A,$A164,'Week1'!$H:$H)+SUMIF('Week2'!$A:$A,$A164,'Week2'!$H:$H)+SUMIF('Week3'!$A:$A,$A164,'Week3'!$H:$H)+SUMIF('Week4'!$A:$A,$A164,'Week4'!$H:$H)</f>
        <v/>
      </c>
      <c r="I164" s="7">
        <f>SUMIF('Week1'!$A:$A,$A164,'Week1'!$I:$I)+SUMIF('Week2'!$A:$A,$A164,'Week2'!$I:$I)+SUMIF('Week3'!$A:$A,$A164,'Week3'!$I:$I)+SUMIF('Week4'!$A:$A,$A164,'Week4'!$I:$I)</f>
        <v/>
      </c>
      <c r="J164" s="7">
        <f>SUMIF('Week1'!$A:$A,$A164,'Week1'!$J:$J)+SUMIF('Week2'!$A:$A,$A164,'Week2'!$J:$J)+SUMIF('Week3'!$A:$A,$A164,'Week3'!$J:$J)+SUMIF('Week4'!$A:$A,$A164,'Week4'!$J:$J)</f>
        <v/>
      </c>
      <c r="K164" s="7">
        <f>SUMIF('Week1'!$A:$A,$A164,'Week1'!$K:$K)+SUMIF('Week2'!$A:$A,$A164,'Week2'!$K:$K)+SUMIF('Week3'!$A:$A,$A164,'Week3'!$K:$K)+SUMIF('Week4'!$A:$A,$A164,'Week4'!$K:$K)</f>
        <v/>
      </c>
    </row>
    <row r="165">
      <c r="A165" s="6" t="inlineStr">
        <is>
          <t>HARDIK BHAGVAN</t>
        </is>
      </c>
      <c r="B165" s="6" t="inlineStr">
        <is>
          <t>PROD FORMING</t>
        </is>
      </c>
      <c r="C165" s="7" t="n">
        <v>741</v>
      </c>
      <c r="D165" s="7">
        <f>SUMIF('Week1'!$A:$A,$A165,'Week1'!$D:$D)+SUMIF('Week2'!$A:$A,$A165,'Week2'!$D:$D)+SUMIF('Week3'!$A:$A,$A165,'Week3'!$D:$D)+SUMIF('Week4'!$A:$A,$A165,'Week4'!$D:$D)</f>
        <v/>
      </c>
      <c r="E165" s="7">
        <f>SUMIF('Week1'!$A:$A,$A165,'Week1'!$E:$E)+SUMIF('Week2'!$A:$A,$A165,'Week2'!$E:$E)+SUMIF('Week3'!$A:$A,$A165,'Week3'!$E:$E)+SUMIF('Week4'!$A:$A,$A165,'Week4'!$E:$E)</f>
        <v/>
      </c>
      <c r="F165" s="7">
        <f>SUMIF('Week1'!$A:$A,$A165,'Week1'!$F:$F)+SUMIF('Week2'!$A:$A,$A165,'Week2'!$F:$F)+SUMIF('Week3'!$A:$A,$A165,'Week3'!$F:$F)+SUMIF('Week4'!$A:$A,$A165,'Week4'!$F:$F)</f>
        <v/>
      </c>
      <c r="G165" s="7">
        <f>SUMIF('Week1'!$A:$A,$A165,'Week1'!$G:$G)+SUMIF('Week2'!$A:$A,$A165,'Week2'!$G:$G)+SUMIF('Week3'!$A:$A,$A165,'Week3'!$G:$G)+SUMIF('Week4'!$A:$A,$A165,'Week4'!$G:$G)</f>
        <v/>
      </c>
      <c r="H165" s="7">
        <f>SUMIF('Week1'!$A:$A,$A165,'Week1'!$H:$H)+SUMIF('Week2'!$A:$A,$A165,'Week2'!$H:$H)+SUMIF('Week3'!$A:$A,$A165,'Week3'!$H:$H)+SUMIF('Week4'!$A:$A,$A165,'Week4'!$H:$H)</f>
        <v/>
      </c>
      <c r="I165" s="7">
        <f>SUMIF('Week1'!$A:$A,$A165,'Week1'!$I:$I)+SUMIF('Week2'!$A:$A,$A165,'Week2'!$I:$I)+SUMIF('Week3'!$A:$A,$A165,'Week3'!$I:$I)+SUMIF('Week4'!$A:$A,$A165,'Week4'!$I:$I)</f>
        <v/>
      </c>
      <c r="J165" s="7">
        <f>SUMIF('Week1'!$A:$A,$A165,'Week1'!$J:$J)+SUMIF('Week2'!$A:$A,$A165,'Week2'!$J:$J)+SUMIF('Week3'!$A:$A,$A165,'Week3'!$J:$J)+SUMIF('Week4'!$A:$A,$A165,'Week4'!$J:$J)</f>
        <v/>
      </c>
      <c r="K165" s="7">
        <f>SUMIF('Week1'!$A:$A,$A165,'Week1'!$K:$K)+SUMIF('Week2'!$A:$A,$A165,'Week2'!$K:$K)+SUMIF('Week3'!$A:$A,$A165,'Week3'!$K:$K)+SUMIF('Week4'!$A:$A,$A165,'Week4'!$K:$K)</f>
        <v/>
      </c>
    </row>
    <row r="166">
      <c r="A166" s="6" t="inlineStr">
        <is>
          <t>HARI CALA</t>
        </is>
      </c>
      <c r="B166" s="6" t="inlineStr">
        <is>
          <t>PROD FORMING</t>
        </is>
      </c>
      <c r="C166" s="7" t="n">
        <v>606</v>
      </c>
      <c r="D166" s="7">
        <f>SUMIF('Week1'!$A:$A,$A166,'Week1'!$D:$D)+SUMIF('Week2'!$A:$A,$A166,'Week2'!$D:$D)+SUMIF('Week3'!$A:$A,$A166,'Week3'!$D:$D)+SUMIF('Week4'!$A:$A,$A166,'Week4'!$D:$D)</f>
        <v/>
      </c>
      <c r="E166" s="7">
        <f>SUMIF('Week1'!$A:$A,$A166,'Week1'!$E:$E)+SUMIF('Week2'!$A:$A,$A166,'Week2'!$E:$E)+SUMIF('Week3'!$A:$A,$A166,'Week3'!$E:$E)+SUMIF('Week4'!$A:$A,$A166,'Week4'!$E:$E)</f>
        <v/>
      </c>
      <c r="F166" s="7">
        <f>SUMIF('Week1'!$A:$A,$A166,'Week1'!$F:$F)+SUMIF('Week2'!$A:$A,$A166,'Week2'!$F:$F)+SUMIF('Week3'!$A:$A,$A166,'Week3'!$F:$F)+SUMIF('Week4'!$A:$A,$A166,'Week4'!$F:$F)</f>
        <v/>
      </c>
      <c r="G166" s="7">
        <f>SUMIF('Week1'!$A:$A,$A166,'Week1'!$G:$G)+SUMIF('Week2'!$A:$A,$A166,'Week2'!$G:$G)+SUMIF('Week3'!$A:$A,$A166,'Week3'!$G:$G)+SUMIF('Week4'!$A:$A,$A166,'Week4'!$G:$G)</f>
        <v/>
      </c>
      <c r="H166" s="7">
        <f>SUMIF('Week1'!$A:$A,$A166,'Week1'!$H:$H)+SUMIF('Week2'!$A:$A,$A166,'Week2'!$H:$H)+SUMIF('Week3'!$A:$A,$A166,'Week3'!$H:$H)+SUMIF('Week4'!$A:$A,$A166,'Week4'!$H:$H)</f>
        <v/>
      </c>
      <c r="I166" s="7">
        <f>SUMIF('Week1'!$A:$A,$A166,'Week1'!$I:$I)+SUMIF('Week2'!$A:$A,$A166,'Week2'!$I:$I)+SUMIF('Week3'!$A:$A,$A166,'Week3'!$I:$I)+SUMIF('Week4'!$A:$A,$A166,'Week4'!$I:$I)</f>
        <v/>
      </c>
      <c r="J166" s="7">
        <f>SUMIF('Week1'!$A:$A,$A166,'Week1'!$J:$J)+SUMIF('Week2'!$A:$A,$A166,'Week2'!$J:$J)+SUMIF('Week3'!$A:$A,$A166,'Week3'!$J:$J)+SUMIF('Week4'!$A:$A,$A166,'Week4'!$J:$J)</f>
        <v/>
      </c>
      <c r="K166" s="7">
        <f>SUMIF('Week1'!$A:$A,$A166,'Week1'!$K:$K)+SUMIF('Week2'!$A:$A,$A166,'Week2'!$K:$K)+SUMIF('Week3'!$A:$A,$A166,'Week3'!$K:$K)+SUMIF('Week4'!$A:$A,$A166,'Week4'!$K:$K)</f>
        <v/>
      </c>
    </row>
    <row r="167">
      <c r="A167" s="6" t="inlineStr">
        <is>
          <t>ANCEICAO CARVALHO</t>
        </is>
      </c>
      <c r="B167" s="6" t="inlineStr">
        <is>
          <t>PROD FORMING</t>
        </is>
      </c>
      <c r="C167" s="7" t="n">
        <v>444</v>
      </c>
      <c r="D167" s="7">
        <f>SUMIF('Week1'!$A:$A,$A167,'Week1'!$D:$D)+SUMIF('Week2'!$A:$A,$A167,'Week2'!$D:$D)+SUMIF('Week3'!$A:$A,$A167,'Week3'!$D:$D)+SUMIF('Week4'!$A:$A,$A167,'Week4'!$D:$D)</f>
        <v/>
      </c>
      <c r="E167" s="7">
        <f>SUMIF('Week1'!$A:$A,$A167,'Week1'!$E:$E)+SUMIF('Week2'!$A:$A,$A167,'Week2'!$E:$E)+SUMIF('Week3'!$A:$A,$A167,'Week3'!$E:$E)+SUMIF('Week4'!$A:$A,$A167,'Week4'!$E:$E)</f>
        <v/>
      </c>
      <c r="F167" s="7">
        <f>SUMIF('Week1'!$A:$A,$A167,'Week1'!$F:$F)+SUMIF('Week2'!$A:$A,$A167,'Week2'!$F:$F)+SUMIF('Week3'!$A:$A,$A167,'Week3'!$F:$F)+SUMIF('Week4'!$A:$A,$A167,'Week4'!$F:$F)</f>
        <v/>
      </c>
      <c r="G167" s="7">
        <f>SUMIF('Week1'!$A:$A,$A167,'Week1'!$G:$G)+SUMIF('Week2'!$A:$A,$A167,'Week2'!$G:$G)+SUMIF('Week3'!$A:$A,$A167,'Week3'!$G:$G)+SUMIF('Week4'!$A:$A,$A167,'Week4'!$G:$G)</f>
        <v/>
      </c>
      <c r="H167" s="7">
        <f>SUMIF('Week1'!$A:$A,$A167,'Week1'!$H:$H)+SUMIF('Week2'!$A:$A,$A167,'Week2'!$H:$H)+SUMIF('Week3'!$A:$A,$A167,'Week3'!$H:$H)+SUMIF('Week4'!$A:$A,$A167,'Week4'!$H:$H)</f>
        <v/>
      </c>
      <c r="I167" s="7">
        <f>SUMIF('Week1'!$A:$A,$A167,'Week1'!$I:$I)+SUMIF('Week2'!$A:$A,$A167,'Week2'!$I:$I)+SUMIF('Week3'!$A:$A,$A167,'Week3'!$I:$I)+SUMIF('Week4'!$A:$A,$A167,'Week4'!$I:$I)</f>
        <v/>
      </c>
      <c r="J167" s="7">
        <f>SUMIF('Week1'!$A:$A,$A167,'Week1'!$J:$J)+SUMIF('Week2'!$A:$A,$A167,'Week2'!$J:$J)+SUMIF('Week3'!$A:$A,$A167,'Week3'!$J:$J)+SUMIF('Week4'!$A:$A,$A167,'Week4'!$J:$J)</f>
        <v/>
      </c>
      <c r="K167" s="7">
        <f>SUMIF('Week1'!$A:$A,$A167,'Week1'!$K:$K)+SUMIF('Week2'!$A:$A,$A167,'Week2'!$K:$K)+SUMIF('Week3'!$A:$A,$A167,'Week3'!$K:$K)+SUMIF('Week4'!$A:$A,$A167,'Week4'!$K:$K)</f>
        <v/>
      </c>
    </row>
    <row r="168">
      <c r="A168" s="6" t="inlineStr">
        <is>
          <t>USHABEN HARJI</t>
        </is>
      </c>
      <c r="B168" s="6" t="inlineStr">
        <is>
          <t>PROD FORMING</t>
        </is>
      </c>
      <c r="C168" s="7" t="n">
        <v>739</v>
      </c>
      <c r="D168" s="7">
        <f>SUMIF('Week1'!$A:$A,$A168,'Week1'!$D:$D)+SUMIF('Week2'!$A:$A,$A168,'Week2'!$D:$D)+SUMIF('Week3'!$A:$A,$A168,'Week3'!$D:$D)+SUMIF('Week4'!$A:$A,$A168,'Week4'!$D:$D)</f>
        <v/>
      </c>
      <c r="E168" s="7">
        <f>SUMIF('Week1'!$A:$A,$A168,'Week1'!$E:$E)+SUMIF('Week2'!$A:$A,$A168,'Week2'!$E:$E)+SUMIF('Week3'!$A:$A,$A168,'Week3'!$E:$E)+SUMIF('Week4'!$A:$A,$A168,'Week4'!$E:$E)</f>
        <v/>
      </c>
      <c r="F168" s="7">
        <f>SUMIF('Week1'!$A:$A,$A168,'Week1'!$F:$F)+SUMIF('Week2'!$A:$A,$A168,'Week2'!$F:$F)+SUMIF('Week3'!$A:$A,$A168,'Week3'!$F:$F)+SUMIF('Week4'!$A:$A,$A168,'Week4'!$F:$F)</f>
        <v/>
      </c>
      <c r="G168" s="7">
        <f>SUMIF('Week1'!$A:$A,$A168,'Week1'!$G:$G)+SUMIF('Week2'!$A:$A,$A168,'Week2'!$G:$G)+SUMIF('Week3'!$A:$A,$A168,'Week3'!$G:$G)+SUMIF('Week4'!$A:$A,$A168,'Week4'!$G:$G)</f>
        <v/>
      </c>
      <c r="H168" s="7">
        <f>SUMIF('Week1'!$A:$A,$A168,'Week1'!$H:$H)+SUMIF('Week2'!$A:$A,$A168,'Week2'!$H:$H)+SUMIF('Week3'!$A:$A,$A168,'Week3'!$H:$H)+SUMIF('Week4'!$A:$A,$A168,'Week4'!$H:$H)</f>
        <v/>
      </c>
      <c r="I168" s="7">
        <f>SUMIF('Week1'!$A:$A,$A168,'Week1'!$I:$I)+SUMIF('Week2'!$A:$A,$A168,'Week2'!$I:$I)+SUMIF('Week3'!$A:$A,$A168,'Week3'!$I:$I)+SUMIF('Week4'!$A:$A,$A168,'Week4'!$I:$I)</f>
        <v/>
      </c>
      <c r="J168" s="7">
        <f>SUMIF('Week1'!$A:$A,$A168,'Week1'!$J:$J)+SUMIF('Week2'!$A:$A,$A168,'Week2'!$J:$J)+SUMIF('Week3'!$A:$A,$A168,'Week3'!$J:$J)+SUMIF('Week4'!$A:$A,$A168,'Week4'!$J:$J)</f>
        <v/>
      </c>
      <c r="K168" s="7">
        <f>SUMIF('Week1'!$A:$A,$A168,'Week1'!$K:$K)+SUMIF('Week2'!$A:$A,$A168,'Week2'!$K:$K)+SUMIF('Week3'!$A:$A,$A168,'Week3'!$K:$K)+SUMIF('Week4'!$A:$A,$A168,'Week4'!$K:$K)</f>
        <v/>
      </c>
    </row>
    <row r="169">
      <c r="A169" s="6" t="inlineStr">
        <is>
          <t>BHUMIKA NARSINH VAISHYA</t>
        </is>
      </c>
      <c r="B169" s="6" t="inlineStr">
        <is>
          <t>PROD FORMING</t>
        </is>
      </c>
      <c r="C169" s="7" t="n">
        <v>738</v>
      </c>
      <c r="D169" s="7">
        <f>SUMIF('Week1'!$A:$A,$A169,'Week1'!$D:$D)+SUMIF('Week2'!$A:$A,$A169,'Week2'!$D:$D)+SUMIF('Week3'!$A:$A,$A169,'Week3'!$D:$D)+SUMIF('Week4'!$A:$A,$A169,'Week4'!$D:$D)</f>
        <v/>
      </c>
      <c r="E169" s="7">
        <f>SUMIF('Week1'!$A:$A,$A169,'Week1'!$E:$E)+SUMIF('Week2'!$A:$A,$A169,'Week2'!$E:$E)+SUMIF('Week3'!$A:$A,$A169,'Week3'!$E:$E)+SUMIF('Week4'!$A:$A,$A169,'Week4'!$E:$E)</f>
        <v/>
      </c>
      <c r="F169" s="7">
        <f>SUMIF('Week1'!$A:$A,$A169,'Week1'!$F:$F)+SUMIF('Week2'!$A:$A,$A169,'Week2'!$F:$F)+SUMIF('Week3'!$A:$A,$A169,'Week3'!$F:$F)+SUMIF('Week4'!$A:$A,$A169,'Week4'!$F:$F)</f>
        <v/>
      </c>
      <c r="G169" s="7">
        <f>SUMIF('Week1'!$A:$A,$A169,'Week1'!$G:$G)+SUMIF('Week2'!$A:$A,$A169,'Week2'!$G:$G)+SUMIF('Week3'!$A:$A,$A169,'Week3'!$G:$G)+SUMIF('Week4'!$A:$A,$A169,'Week4'!$G:$G)</f>
        <v/>
      </c>
      <c r="H169" s="7">
        <f>SUMIF('Week1'!$A:$A,$A169,'Week1'!$H:$H)+SUMIF('Week2'!$A:$A,$A169,'Week2'!$H:$H)+SUMIF('Week3'!$A:$A,$A169,'Week3'!$H:$H)+SUMIF('Week4'!$A:$A,$A169,'Week4'!$H:$H)</f>
        <v/>
      </c>
      <c r="I169" s="7">
        <f>SUMIF('Week1'!$A:$A,$A169,'Week1'!$I:$I)+SUMIF('Week2'!$A:$A,$A169,'Week2'!$I:$I)+SUMIF('Week3'!$A:$A,$A169,'Week3'!$I:$I)+SUMIF('Week4'!$A:$A,$A169,'Week4'!$I:$I)</f>
        <v/>
      </c>
      <c r="J169" s="7">
        <f>SUMIF('Week1'!$A:$A,$A169,'Week1'!$J:$J)+SUMIF('Week2'!$A:$A,$A169,'Week2'!$J:$J)+SUMIF('Week3'!$A:$A,$A169,'Week3'!$J:$J)+SUMIF('Week4'!$A:$A,$A169,'Week4'!$J:$J)</f>
        <v/>
      </c>
      <c r="K169" s="7">
        <f>SUMIF('Week1'!$A:$A,$A169,'Week1'!$K:$K)+SUMIF('Week2'!$A:$A,$A169,'Week2'!$K:$K)+SUMIF('Week3'!$A:$A,$A169,'Week3'!$K:$K)+SUMIF('Week4'!$A:$A,$A169,'Week4'!$K:$K)</f>
        <v/>
      </c>
    </row>
    <row r="170">
      <c r="A170" s="6" t="inlineStr">
        <is>
          <t>SHAVJI VARJANGUE</t>
        </is>
      </c>
      <c r="B170" s="6" t="inlineStr">
        <is>
          <t>PROD FORMING</t>
        </is>
      </c>
      <c r="C170" s="7" t="n">
        <v>528</v>
      </c>
      <c r="D170" s="7">
        <f>SUMIF('Week1'!$A:$A,$A170,'Week1'!$D:$D)+SUMIF('Week2'!$A:$A,$A170,'Week2'!$D:$D)+SUMIF('Week3'!$A:$A,$A170,'Week3'!$D:$D)+SUMIF('Week4'!$A:$A,$A170,'Week4'!$D:$D)</f>
        <v/>
      </c>
      <c r="E170" s="7">
        <f>SUMIF('Week1'!$A:$A,$A170,'Week1'!$E:$E)+SUMIF('Week2'!$A:$A,$A170,'Week2'!$E:$E)+SUMIF('Week3'!$A:$A,$A170,'Week3'!$E:$E)+SUMIF('Week4'!$A:$A,$A170,'Week4'!$E:$E)</f>
        <v/>
      </c>
      <c r="F170" s="7">
        <f>SUMIF('Week1'!$A:$A,$A170,'Week1'!$F:$F)+SUMIF('Week2'!$A:$A,$A170,'Week2'!$F:$F)+SUMIF('Week3'!$A:$A,$A170,'Week3'!$F:$F)+SUMIF('Week4'!$A:$A,$A170,'Week4'!$F:$F)</f>
        <v/>
      </c>
      <c r="G170" s="7">
        <f>SUMIF('Week1'!$A:$A,$A170,'Week1'!$G:$G)+SUMIF('Week2'!$A:$A,$A170,'Week2'!$G:$G)+SUMIF('Week3'!$A:$A,$A170,'Week3'!$G:$G)+SUMIF('Week4'!$A:$A,$A170,'Week4'!$G:$G)</f>
        <v/>
      </c>
      <c r="H170" s="7">
        <f>SUMIF('Week1'!$A:$A,$A170,'Week1'!$H:$H)+SUMIF('Week2'!$A:$A,$A170,'Week2'!$H:$H)+SUMIF('Week3'!$A:$A,$A170,'Week3'!$H:$H)+SUMIF('Week4'!$A:$A,$A170,'Week4'!$H:$H)</f>
        <v/>
      </c>
      <c r="I170" s="7">
        <f>SUMIF('Week1'!$A:$A,$A170,'Week1'!$I:$I)+SUMIF('Week2'!$A:$A,$A170,'Week2'!$I:$I)+SUMIF('Week3'!$A:$A,$A170,'Week3'!$I:$I)+SUMIF('Week4'!$A:$A,$A170,'Week4'!$I:$I)</f>
        <v/>
      </c>
      <c r="J170" s="7">
        <f>SUMIF('Week1'!$A:$A,$A170,'Week1'!$J:$J)+SUMIF('Week2'!$A:$A,$A170,'Week2'!$J:$J)+SUMIF('Week3'!$A:$A,$A170,'Week3'!$J:$J)+SUMIF('Week4'!$A:$A,$A170,'Week4'!$J:$J)</f>
        <v/>
      </c>
      <c r="K170" s="7">
        <f>SUMIF('Week1'!$A:$A,$A170,'Week1'!$K:$K)+SUMIF('Week2'!$A:$A,$A170,'Week2'!$K:$K)+SUMIF('Week3'!$A:$A,$A170,'Week3'!$K:$K)+SUMIF('Week4'!$A:$A,$A170,'Week4'!$K:$K)</f>
        <v/>
      </c>
    </row>
    <row r="171">
      <c r="A171" s="6" t="inlineStr">
        <is>
          <t>AKRITI AKRITI</t>
        </is>
      </c>
      <c r="B171" s="6" t="inlineStr">
        <is>
          <t>PROD FRYING</t>
        </is>
      </c>
      <c r="C171" s="7" t="n">
        <v>709</v>
      </c>
      <c r="D171" s="7">
        <f>SUMIF('Week1'!$A:$A,$A171,'Week1'!$D:$D)+SUMIF('Week2'!$A:$A,$A171,'Week2'!$D:$D)+SUMIF('Week3'!$A:$A,$A171,'Week3'!$D:$D)+SUMIF('Week4'!$A:$A,$A171,'Week4'!$D:$D)</f>
        <v/>
      </c>
      <c r="E171" s="7">
        <f>SUMIF('Week1'!$A:$A,$A171,'Week1'!$E:$E)+SUMIF('Week2'!$A:$A,$A171,'Week2'!$E:$E)+SUMIF('Week3'!$A:$A,$A171,'Week3'!$E:$E)+SUMIF('Week4'!$A:$A,$A171,'Week4'!$E:$E)</f>
        <v/>
      </c>
      <c r="F171" s="7">
        <f>SUMIF('Week1'!$A:$A,$A171,'Week1'!$F:$F)+SUMIF('Week2'!$A:$A,$A171,'Week2'!$F:$F)+SUMIF('Week3'!$A:$A,$A171,'Week3'!$F:$F)+SUMIF('Week4'!$A:$A,$A171,'Week4'!$F:$F)</f>
        <v/>
      </c>
      <c r="G171" s="7">
        <f>SUMIF('Week1'!$A:$A,$A171,'Week1'!$G:$G)+SUMIF('Week2'!$A:$A,$A171,'Week2'!$G:$G)+SUMIF('Week3'!$A:$A,$A171,'Week3'!$G:$G)+SUMIF('Week4'!$A:$A,$A171,'Week4'!$G:$G)</f>
        <v/>
      </c>
      <c r="H171" s="7">
        <f>SUMIF('Week1'!$A:$A,$A171,'Week1'!$H:$H)+SUMIF('Week2'!$A:$A,$A171,'Week2'!$H:$H)+SUMIF('Week3'!$A:$A,$A171,'Week3'!$H:$H)+SUMIF('Week4'!$A:$A,$A171,'Week4'!$H:$H)</f>
        <v/>
      </c>
      <c r="I171" s="7">
        <f>SUMIF('Week1'!$A:$A,$A171,'Week1'!$I:$I)+SUMIF('Week2'!$A:$A,$A171,'Week2'!$I:$I)+SUMIF('Week3'!$A:$A,$A171,'Week3'!$I:$I)+SUMIF('Week4'!$A:$A,$A171,'Week4'!$I:$I)</f>
        <v/>
      </c>
      <c r="J171" s="7">
        <f>SUMIF('Week1'!$A:$A,$A171,'Week1'!$J:$J)+SUMIF('Week2'!$A:$A,$A171,'Week2'!$J:$J)+SUMIF('Week3'!$A:$A,$A171,'Week3'!$J:$J)+SUMIF('Week4'!$A:$A,$A171,'Week4'!$J:$J)</f>
        <v/>
      </c>
      <c r="K171" s="7">
        <f>SUMIF('Week1'!$A:$A,$A171,'Week1'!$K:$K)+SUMIF('Week2'!$A:$A,$A171,'Week2'!$K:$K)+SUMIF('Week3'!$A:$A,$A171,'Week3'!$K:$K)+SUMIF('Week4'!$A:$A,$A171,'Week4'!$K:$K)</f>
        <v/>
      </c>
    </row>
    <row r="172">
      <c r="A172" s="6" t="inlineStr">
        <is>
          <t>RAM BAHADUR BHANDARI</t>
        </is>
      </c>
      <c r="B172" s="6" t="inlineStr">
        <is>
          <t>PROD FRYING</t>
        </is>
      </c>
      <c r="C172" s="7" t="n">
        <v>700</v>
      </c>
      <c r="D172" s="7">
        <f>SUMIF('Week1'!$A:$A,$A172,'Week1'!$D:$D)+SUMIF('Week2'!$A:$A,$A172,'Week2'!$D:$D)+SUMIF('Week3'!$A:$A,$A172,'Week3'!$D:$D)+SUMIF('Week4'!$A:$A,$A172,'Week4'!$D:$D)</f>
        <v/>
      </c>
      <c r="E172" s="7">
        <f>SUMIF('Week1'!$A:$A,$A172,'Week1'!$E:$E)+SUMIF('Week2'!$A:$A,$A172,'Week2'!$E:$E)+SUMIF('Week3'!$A:$A,$A172,'Week3'!$E:$E)+SUMIF('Week4'!$A:$A,$A172,'Week4'!$E:$E)</f>
        <v/>
      </c>
      <c r="F172" s="7">
        <f>SUMIF('Week1'!$A:$A,$A172,'Week1'!$F:$F)+SUMIF('Week2'!$A:$A,$A172,'Week2'!$F:$F)+SUMIF('Week3'!$A:$A,$A172,'Week3'!$F:$F)+SUMIF('Week4'!$A:$A,$A172,'Week4'!$F:$F)</f>
        <v/>
      </c>
      <c r="G172" s="7">
        <f>SUMIF('Week1'!$A:$A,$A172,'Week1'!$G:$G)+SUMIF('Week2'!$A:$A,$A172,'Week2'!$G:$G)+SUMIF('Week3'!$A:$A,$A172,'Week3'!$G:$G)+SUMIF('Week4'!$A:$A,$A172,'Week4'!$G:$G)</f>
        <v/>
      </c>
      <c r="H172" s="7">
        <f>SUMIF('Week1'!$A:$A,$A172,'Week1'!$H:$H)+SUMIF('Week2'!$A:$A,$A172,'Week2'!$H:$H)+SUMIF('Week3'!$A:$A,$A172,'Week3'!$H:$H)+SUMIF('Week4'!$A:$A,$A172,'Week4'!$H:$H)</f>
        <v/>
      </c>
      <c r="I172" s="7">
        <f>SUMIF('Week1'!$A:$A,$A172,'Week1'!$I:$I)+SUMIF('Week2'!$A:$A,$A172,'Week2'!$I:$I)+SUMIF('Week3'!$A:$A,$A172,'Week3'!$I:$I)+SUMIF('Week4'!$A:$A,$A172,'Week4'!$I:$I)</f>
        <v/>
      </c>
      <c r="J172" s="7">
        <f>SUMIF('Week1'!$A:$A,$A172,'Week1'!$J:$J)+SUMIF('Week2'!$A:$A,$A172,'Week2'!$J:$J)+SUMIF('Week3'!$A:$A,$A172,'Week3'!$J:$J)+SUMIF('Week4'!$A:$A,$A172,'Week4'!$J:$J)</f>
        <v/>
      </c>
      <c r="K172" s="7">
        <f>SUMIF('Week1'!$A:$A,$A172,'Week1'!$K:$K)+SUMIF('Week2'!$A:$A,$A172,'Week2'!$K:$K)+SUMIF('Week3'!$A:$A,$A172,'Week3'!$K:$K)+SUMIF('Week4'!$A:$A,$A172,'Week4'!$K:$K)</f>
        <v/>
      </c>
    </row>
    <row r="173">
      <c r="A173" s="6" t="inlineStr">
        <is>
          <t>PASANG BAHADUR JIREL</t>
        </is>
      </c>
      <c r="B173" s="6" t="inlineStr">
        <is>
          <t>PROD FRYING</t>
        </is>
      </c>
      <c r="C173" s="7" t="n">
        <v>578</v>
      </c>
      <c r="D173" s="7">
        <f>SUMIF('Week1'!$A:$A,$A173,'Week1'!$D:$D)+SUMIF('Week2'!$A:$A,$A173,'Week2'!$D:$D)+SUMIF('Week3'!$A:$A,$A173,'Week3'!$D:$D)+SUMIF('Week4'!$A:$A,$A173,'Week4'!$D:$D)</f>
        <v/>
      </c>
      <c r="E173" s="7">
        <f>SUMIF('Week1'!$A:$A,$A173,'Week1'!$E:$E)+SUMIF('Week2'!$A:$A,$A173,'Week2'!$E:$E)+SUMIF('Week3'!$A:$A,$A173,'Week3'!$E:$E)+SUMIF('Week4'!$A:$A,$A173,'Week4'!$E:$E)</f>
        <v/>
      </c>
      <c r="F173" s="7">
        <f>SUMIF('Week1'!$A:$A,$A173,'Week1'!$F:$F)+SUMIF('Week2'!$A:$A,$A173,'Week2'!$F:$F)+SUMIF('Week3'!$A:$A,$A173,'Week3'!$F:$F)+SUMIF('Week4'!$A:$A,$A173,'Week4'!$F:$F)</f>
        <v/>
      </c>
      <c r="G173" s="7">
        <f>SUMIF('Week1'!$A:$A,$A173,'Week1'!$G:$G)+SUMIF('Week2'!$A:$A,$A173,'Week2'!$G:$G)+SUMIF('Week3'!$A:$A,$A173,'Week3'!$G:$G)+SUMIF('Week4'!$A:$A,$A173,'Week4'!$G:$G)</f>
        <v/>
      </c>
      <c r="H173" s="7">
        <f>SUMIF('Week1'!$A:$A,$A173,'Week1'!$H:$H)+SUMIF('Week2'!$A:$A,$A173,'Week2'!$H:$H)+SUMIF('Week3'!$A:$A,$A173,'Week3'!$H:$H)+SUMIF('Week4'!$A:$A,$A173,'Week4'!$H:$H)</f>
        <v/>
      </c>
      <c r="I173" s="7">
        <f>SUMIF('Week1'!$A:$A,$A173,'Week1'!$I:$I)+SUMIF('Week2'!$A:$A,$A173,'Week2'!$I:$I)+SUMIF('Week3'!$A:$A,$A173,'Week3'!$I:$I)+SUMIF('Week4'!$A:$A,$A173,'Week4'!$I:$I)</f>
        <v/>
      </c>
      <c r="J173" s="7">
        <f>SUMIF('Week1'!$A:$A,$A173,'Week1'!$J:$J)+SUMIF('Week2'!$A:$A,$A173,'Week2'!$J:$J)+SUMIF('Week3'!$A:$A,$A173,'Week3'!$J:$J)+SUMIF('Week4'!$A:$A,$A173,'Week4'!$J:$J)</f>
        <v/>
      </c>
      <c r="K173" s="7">
        <f>SUMIF('Week1'!$A:$A,$A173,'Week1'!$K:$K)+SUMIF('Week2'!$A:$A,$A173,'Week2'!$K:$K)+SUMIF('Week3'!$A:$A,$A173,'Week3'!$K:$K)+SUMIF('Week4'!$A:$A,$A173,'Week4'!$K:$K)</f>
        <v/>
      </c>
    </row>
    <row r="174">
      <c r="A174" s="6" t="inlineStr">
        <is>
          <t>LIUDVIKA BUTIENE</t>
        </is>
      </c>
      <c r="B174" s="6" t="inlineStr">
        <is>
          <t>PROD FRYING</t>
        </is>
      </c>
      <c r="C174" s="7" t="n">
        <v>21</v>
      </c>
      <c r="D174" s="7">
        <f>SUMIF('Week1'!$A:$A,$A174,'Week1'!$D:$D)+SUMIF('Week2'!$A:$A,$A174,'Week2'!$D:$D)+SUMIF('Week3'!$A:$A,$A174,'Week3'!$D:$D)+SUMIF('Week4'!$A:$A,$A174,'Week4'!$D:$D)</f>
        <v/>
      </c>
      <c r="E174" s="7">
        <f>SUMIF('Week1'!$A:$A,$A174,'Week1'!$E:$E)+SUMIF('Week2'!$A:$A,$A174,'Week2'!$E:$E)+SUMIF('Week3'!$A:$A,$A174,'Week3'!$E:$E)+SUMIF('Week4'!$A:$A,$A174,'Week4'!$E:$E)</f>
        <v/>
      </c>
      <c r="F174" s="7">
        <f>SUMIF('Week1'!$A:$A,$A174,'Week1'!$F:$F)+SUMIF('Week2'!$A:$A,$A174,'Week2'!$F:$F)+SUMIF('Week3'!$A:$A,$A174,'Week3'!$F:$F)+SUMIF('Week4'!$A:$A,$A174,'Week4'!$F:$F)</f>
        <v/>
      </c>
      <c r="G174" s="7">
        <f>SUMIF('Week1'!$A:$A,$A174,'Week1'!$G:$G)+SUMIF('Week2'!$A:$A,$A174,'Week2'!$G:$G)+SUMIF('Week3'!$A:$A,$A174,'Week3'!$G:$G)+SUMIF('Week4'!$A:$A,$A174,'Week4'!$G:$G)</f>
        <v/>
      </c>
      <c r="H174" s="7">
        <f>SUMIF('Week1'!$A:$A,$A174,'Week1'!$H:$H)+SUMIF('Week2'!$A:$A,$A174,'Week2'!$H:$H)+SUMIF('Week3'!$A:$A,$A174,'Week3'!$H:$H)+SUMIF('Week4'!$A:$A,$A174,'Week4'!$H:$H)</f>
        <v/>
      </c>
      <c r="I174" s="7">
        <f>SUMIF('Week1'!$A:$A,$A174,'Week1'!$I:$I)+SUMIF('Week2'!$A:$A,$A174,'Week2'!$I:$I)+SUMIF('Week3'!$A:$A,$A174,'Week3'!$I:$I)+SUMIF('Week4'!$A:$A,$A174,'Week4'!$I:$I)</f>
        <v/>
      </c>
      <c r="J174" s="7">
        <f>SUMIF('Week1'!$A:$A,$A174,'Week1'!$J:$J)+SUMIF('Week2'!$A:$A,$A174,'Week2'!$J:$J)+SUMIF('Week3'!$A:$A,$A174,'Week3'!$J:$J)+SUMIF('Week4'!$A:$A,$A174,'Week4'!$J:$J)</f>
        <v/>
      </c>
      <c r="K174" s="7">
        <f>SUMIF('Week1'!$A:$A,$A174,'Week1'!$K:$K)+SUMIF('Week2'!$A:$A,$A174,'Week2'!$K:$K)+SUMIF('Week3'!$A:$A,$A174,'Week3'!$K:$K)+SUMIF('Week4'!$A:$A,$A174,'Week4'!$K:$K)</f>
        <v/>
      </c>
    </row>
    <row r="175">
      <c r="A175" s="6" t="inlineStr">
        <is>
          <t>JIGNABEN HANSRAJBHAI VAGHASIYA</t>
        </is>
      </c>
      <c r="B175" s="6" t="inlineStr">
        <is>
          <t>PROD FRYING</t>
        </is>
      </c>
      <c r="C175" s="7" t="n">
        <v>740</v>
      </c>
      <c r="D175" s="7">
        <f>SUMIF('Week1'!$A:$A,$A175,'Week1'!$D:$D)+SUMIF('Week2'!$A:$A,$A175,'Week2'!$D:$D)+SUMIF('Week3'!$A:$A,$A175,'Week3'!$D:$D)+SUMIF('Week4'!$A:$A,$A175,'Week4'!$D:$D)</f>
        <v/>
      </c>
      <c r="E175" s="7">
        <f>SUMIF('Week1'!$A:$A,$A175,'Week1'!$E:$E)+SUMIF('Week2'!$A:$A,$A175,'Week2'!$E:$E)+SUMIF('Week3'!$A:$A,$A175,'Week3'!$E:$E)+SUMIF('Week4'!$A:$A,$A175,'Week4'!$E:$E)</f>
        <v/>
      </c>
      <c r="F175" s="7">
        <f>SUMIF('Week1'!$A:$A,$A175,'Week1'!$F:$F)+SUMIF('Week2'!$A:$A,$A175,'Week2'!$F:$F)+SUMIF('Week3'!$A:$A,$A175,'Week3'!$F:$F)+SUMIF('Week4'!$A:$A,$A175,'Week4'!$F:$F)</f>
        <v/>
      </c>
      <c r="G175" s="7">
        <f>SUMIF('Week1'!$A:$A,$A175,'Week1'!$G:$G)+SUMIF('Week2'!$A:$A,$A175,'Week2'!$G:$G)+SUMIF('Week3'!$A:$A,$A175,'Week3'!$G:$G)+SUMIF('Week4'!$A:$A,$A175,'Week4'!$G:$G)</f>
        <v/>
      </c>
      <c r="H175" s="7">
        <f>SUMIF('Week1'!$A:$A,$A175,'Week1'!$H:$H)+SUMIF('Week2'!$A:$A,$A175,'Week2'!$H:$H)+SUMIF('Week3'!$A:$A,$A175,'Week3'!$H:$H)+SUMIF('Week4'!$A:$A,$A175,'Week4'!$H:$H)</f>
        <v/>
      </c>
      <c r="I175" s="7">
        <f>SUMIF('Week1'!$A:$A,$A175,'Week1'!$I:$I)+SUMIF('Week2'!$A:$A,$A175,'Week2'!$I:$I)+SUMIF('Week3'!$A:$A,$A175,'Week3'!$I:$I)+SUMIF('Week4'!$A:$A,$A175,'Week4'!$I:$I)</f>
        <v/>
      </c>
      <c r="J175" s="7">
        <f>SUMIF('Week1'!$A:$A,$A175,'Week1'!$J:$J)+SUMIF('Week2'!$A:$A,$A175,'Week2'!$J:$J)+SUMIF('Week3'!$A:$A,$A175,'Week3'!$J:$J)+SUMIF('Week4'!$A:$A,$A175,'Week4'!$J:$J)</f>
        <v/>
      </c>
      <c r="K175" s="7">
        <f>SUMIF('Week1'!$A:$A,$A175,'Week1'!$K:$K)+SUMIF('Week2'!$A:$A,$A175,'Week2'!$K:$K)+SUMIF('Week3'!$A:$A,$A175,'Week3'!$K:$K)+SUMIF('Week4'!$A:$A,$A175,'Week4'!$K:$K)</f>
        <v/>
      </c>
    </row>
    <row r="176">
      <c r="A176" s="6" t="inlineStr">
        <is>
          <t>CARMINA MONIZ</t>
        </is>
      </c>
      <c r="B176" s="6" t="inlineStr">
        <is>
          <t>PROD FRYING</t>
        </is>
      </c>
      <c r="C176" s="7" t="n">
        <v>755</v>
      </c>
      <c r="D176" s="7">
        <f>SUMIF('Week1'!$A:$A,$A176,'Week1'!$D:$D)+SUMIF('Week2'!$A:$A,$A176,'Week2'!$D:$D)+SUMIF('Week3'!$A:$A,$A176,'Week3'!$D:$D)+SUMIF('Week4'!$A:$A,$A176,'Week4'!$D:$D)</f>
        <v/>
      </c>
      <c r="E176" s="7">
        <f>SUMIF('Week1'!$A:$A,$A176,'Week1'!$E:$E)+SUMIF('Week2'!$A:$A,$A176,'Week2'!$E:$E)+SUMIF('Week3'!$A:$A,$A176,'Week3'!$E:$E)+SUMIF('Week4'!$A:$A,$A176,'Week4'!$E:$E)</f>
        <v/>
      </c>
      <c r="F176" s="7">
        <f>SUMIF('Week1'!$A:$A,$A176,'Week1'!$F:$F)+SUMIF('Week2'!$A:$A,$A176,'Week2'!$F:$F)+SUMIF('Week3'!$A:$A,$A176,'Week3'!$F:$F)+SUMIF('Week4'!$A:$A,$A176,'Week4'!$F:$F)</f>
        <v/>
      </c>
      <c r="G176" s="7">
        <f>SUMIF('Week1'!$A:$A,$A176,'Week1'!$G:$G)+SUMIF('Week2'!$A:$A,$A176,'Week2'!$G:$G)+SUMIF('Week3'!$A:$A,$A176,'Week3'!$G:$G)+SUMIF('Week4'!$A:$A,$A176,'Week4'!$G:$G)</f>
        <v/>
      </c>
      <c r="H176" s="7">
        <f>SUMIF('Week1'!$A:$A,$A176,'Week1'!$H:$H)+SUMIF('Week2'!$A:$A,$A176,'Week2'!$H:$H)+SUMIF('Week3'!$A:$A,$A176,'Week3'!$H:$H)+SUMIF('Week4'!$A:$A,$A176,'Week4'!$H:$H)</f>
        <v/>
      </c>
      <c r="I176" s="7">
        <f>SUMIF('Week1'!$A:$A,$A176,'Week1'!$I:$I)+SUMIF('Week2'!$A:$A,$A176,'Week2'!$I:$I)+SUMIF('Week3'!$A:$A,$A176,'Week3'!$I:$I)+SUMIF('Week4'!$A:$A,$A176,'Week4'!$I:$I)</f>
        <v/>
      </c>
      <c r="J176" s="7">
        <f>SUMIF('Week1'!$A:$A,$A176,'Week1'!$J:$J)+SUMIF('Week2'!$A:$A,$A176,'Week2'!$J:$J)+SUMIF('Week3'!$A:$A,$A176,'Week3'!$J:$J)+SUMIF('Week4'!$A:$A,$A176,'Week4'!$J:$J)</f>
        <v/>
      </c>
      <c r="K176" s="7">
        <f>SUMIF('Week1'!$A:$A,$A176,'Week1'!$K:$K)+SUMIF('Week2'!$A:$A,$A176,'Week2'!$K:$K)+SUMIF('Week3'!$A:$A,$A176,'Week3'!$K:$K)+SUMIF('Week4'!$A:$A,$A176,'Week4'!$K:$K)</f>
        <v/>
      </c>
    </row>
    <row r="177">
      <c r="A177" s="6" t="inlineStr">
        <is>
          <t>DHANJI RAMA</t>
        </is>
      </c>
      <c r="B177" s="6" t="inlineStr">
        <is>
          <t>PROD FRYING</t>
        </is>
      </c>
      <c r="C177" s="7" t="n">
        <v>708</v>
      </c>
      <c r="D177" s="7">
        <f>SUMIF('Week1'!$A:$A,$A177,'Week1'!$D:$D)+SUMIF('Week2'!$A:$A,$A177,'Week2'!$D:$D)+SUMIF('Week3'!$A:$A,$A177,'Week3'!$D:$D)+SUMIF('Week4'!$A:$A,$A177,'Week4'!$D:$D)</f>
        <v/>
      </c>
      <c r="E177" s="7">
        <f>SUMIF('Week1'!$A:$A,$A177,'Week1'!$E:$E)+SUMIF('Week2'!$A:$A,$A177,'Week2'!$E:$E)+SUMIF('Week3'!$A:$A,$A177,'Week3'!$E:$E)+SUMIF('Week4'!$A:$A,$A177,'Week4'!$E:$E)</f>
        <v/>
      </c>
      <c r="F177" s="7">
        <f>SUMIF('Week1'!$A:$A,$A177,'Week1'!$F:$F)+SUMIF('Week2'!$A:$A,$A177,'Week2'!$F:$F)+SUMIF('Week3'!$A:$A,$A177,'Week3'!$F:$F)+SUMIF('Week4'!$A:$A,$A177,'Week4'!$F:$F)</f>
        <v/>
      </c>
      <c r="G177" s="7">
        <f>SUMIF('Week1'!$A:$A,$A177,'Week1'!$G:$G)+SUMIF('Week2'!$A:$A,$A177,'Week2'!$G:$G)+SUMIF('Week3'!$A:$A,$A177,'Week3'!$G:$G)+SUMIF('Week4'!$A:$A,$A177,'Week4'!$G:$G)</f>
        <v/>
      </c>
      <c r="H177" s="7">
        <f>SUMIF('Week1'!$A:$A,$A177,'Week1'!$H:$H)+SUMIF('Week2'!$A:$A,$A177,'Week2'!$H:$H)+SUMIF('Week3'!$A:$A,$A177,'Week3'!$H:$H)+SUMIF('Week4'!$A:$A,$A177,'Week4'!$H:$H)</f>
        <v/>
      </c>
      <c r="I177" s="7">
        <f>SUMIF('Week1'!$A:$A,$A177,'Week1'!$I:$I)+SUMIF('Week2'!$A:$A,$A177,'Week2'!$I:$I)+SUMIF('Week3'!$A:$A,$A177,'Week3'!$I:$I)+SUMIF('Week4'!$A:$A,$A177,'Week4'!$I:$I)</f>
        <v/>
      </c>
      <c r="J177" s="7">
        <f>SUMIF('Week1'!$A:$A,$A177,'Week1'!$J:$J)+SUMIF('Week2'!$A:$A,$A177,'Week2'!$J:$J)+SUMIF('Week3'!$A:$A,$A177,'Week3'!$J:$J)+SUMIF('Week4'!$A:$A,$A177,'Week4'!$J:$J)</f>
        <v/>
      </c>
      <c r="K177" s="7">
        <f>SUMIF('Week1'!$A:$A,$A177,'Week1'!$K:$K)+SUMIF('Week2'!$A:$A,$A177,'Week2'!$K:$K)+SUMIF('Week3'!$A:$A,$A177,'Week3'!$K:$K)+SUMIF('Week4'!$A:$A,$A177,'Week4'!$K:$K)</f>
        <v/>
      </c>
    </row>
    <row r="178">
      <c r="A178" s="6" t="inlineStr">
        <is>
          <t>SHADEV RAMJI</t>
        </is>
      </c>
      <c r="B178" s="6" t="inlineStr">
        <is>
          <t>PROD FRYING</t>
        </is>
      </c>
      <c r="C178" s="7" t="n">
        <v>742</v>
      </c>
      <c r="D178" s="7">
        <f>SUMIF('Week1'!$A:$A,$A178,'Week1'!$D:$D)+SUMIF('Week2'!$A:$A,$A178,'Week2'!$D:$D)+SUMIF('Week3'!$A:$A,$A178,'Week3'!$D:$D)+SUMIF('Week4'!$A:$A,$A178,'Week4'!$D:$D)</f>
        <v/>
      </c>
      <c r="E178" s="7">
        <f>SUMIF('Week1'!$A:$A,$A178,'Week1'!$E:$E)+SUMIF('Week2'!$A:$A,$A178,'Week2'!$E:$E)+SUMIF('Week3'!$A:$A,$A178,'Week3'!$E:$E)+SUMIF('Week4'!$A:$A,$A178,'Week4'!$E:$E)</f>
        <v/>
      </c>
      <c r="F178" s="7">
        <f>SUMIF('Week1'!$A:$A,$A178,'Week1'!$F:$F)+SUMIF('Week2'!$A:$A,$A178,'Week2'!$F:$F)+SUMIF('Week3'!$A:$A,$A178,'Week3'!$F:$F)+SUMIF('Week4'!$A:$A,$A178,'Week4'!$F:$F)</f>
        <v/>
      </c>
      <c r="G178" s="7">
        <f>SUMIF('Week1'!$A:$A,$A178,'Week1'!$G:$G)+SUMIF('Week2'!$A:$A,$A178,'Week2'!$G:$G)+SUMIF('Week3'!$A:$A,$A178,'Week3'!$G:$G)+SUMIF('Week4'!$A:$A,$A178,'Week4'!$G:$G)</f>
        <v/>
      </c>
      <c r="H178" s="7">
        <f>SUMIF('Week1'!$A:$A,$A178,'Week1'!$H:$H)+SUMIF('Week2'!$A:$A,$A178,'Week2'!$H:$H)+SUMIF('Week3'!$A:$A,$A178,'Week3'!$H:$H)+SUMIF('Week4'!$A:$A,$A178,'Week4'!$H:$H)</f>
        <v/>
      </c>
      <c r="I178" s="7">
        <f>SUMIF('Week1'!$A:$A,$A178,'Week1'!$I:$I)+SUMIF('Week2'!$A:$A,$A178,'Week2'!$I:$I)+SUMIF('Week3'!$A:$A,$A178,'Week3'!$I:$I)+SUMIF('Week4'!$A:$A,$A178,'Week4'!$I:$I)</f>
        <v/>
      </c>
      <c r="J178" s="7">
        <f>SUMIF('Week1'!$A:$A,$A178,'Week1'!$J:$J)+SUMIF('Week2'!$A:$A,$A178,'Week2'!$J:$J)+SUMIF('Week3'!$A:$A,$A178,'Week3'!$J:$J)+SUMIF('Week4'!$A:$A,$A178,'Week4'!$J:$J)</f>
        <v/>
      </c>
      <c r="K178" s="7">
        <f>SUMIF('Week1'!$A:$A,$A178,'Week1'!$K:$K)+SUMIF('Week2'!$A:$A,$A178,'Week2'!$K:$K)+SUMIF('Week3'!$A:$A,$A178,'Week3'!$K:$K)+SUMIF('Week4'!$A:$A,$A178,'Week4'!$K:$K)</f>
        <v/>
      </c>
    </row>
    <row r="179">
      <c r="A179" s="6" t="inlineStr">
        <is>
          <t>SAMJHANA ADHIKARI KARKI</t>
        </is>
      </c>
      <c r="B179" s="6" t="inlineStr">
        <is>
          <t>PROD PREPARATION</t>
        </is>
      </c>
      <c r="C179" s="7" t="n">
        <v>736</v>
      </c>
      <c r="D179" s="7">
        <f>SUMIF('Week1'!$A:$A,$A179,'Week1'!$D:$D)+SUMIF('Week2'!$A:$A,$A179,'Week2'!$D:$D)+SUMIF('Week3'!$A:$A,$A179,'Week3'!$D:$D)+SUMIF('Week4'!$A:$A,$A179,'Week4'!$D:$D)</f>
        <v/>
      </c>
      <c r="E179" s="7">
        <f>SUMIF('Week1'!$A:$A,$A179,'Week1'!$E:$E)+SUMIF('Week2'!$A:$A,$A179,'Week2'!$E:$E)+SUMIF('Week3'!$A:$A,$A179,'Week3'!$E:$E)+SUMIF('Week4'!$A:$A,$A179,'Week4'!$E:$E)</f>
        <v/>
      </c>
      <c r="F179" s="7">
        <f>SUMIF('Week1'!$A:$A,$A179,'Week1'!$F:$F)+SUMIF('Week2'!$A:$A,$A179,'Week2'!$F:$F)+SUMIF('Week3'!$A:$A,$A179,'Week3'!$F:$F)+SUMIF('Week4'!$A:$A,$A179,'Week4'!$F:$F)</f>
        <v/>
      </c>
      <c r="G179" s="7">
        <f>SUMIF('Week1'!$A:$A,$A179,'Week1'!$G:$G)+SUMIF('Week2'!$A:$A,$A179,'Week2'!$G:$G)+SUMIF('Week3'!$A:$A,$A179,'Week3'!$G:$G)+SUMIF('Week4'!$A:$A,$A179,'Week4'!$G:$G)</f>
        <v/>
      </c>
      <c r="H179" s="7">
        <f>SUMIF('Week1'!$A:$A,$A179,'Week1'!$H:$H)+SUMIF('Week2'!$A:$A,$A179,'Week2'!$H:$H)+SUMIF('Week3'!$A:$A,$A179,'Week3'!$H:$H)+SUMIF('Week4'!$A:$A,$A179,'Week4'!$H:$H)</f>
        <v/>
      </c>
      <c r="I179" s="7">
        <f>SUMIF('Week1'!$A:$A,$A179,'Week1'!$I:$I)+SUMIF('Week2'!$A:$A,$A179,'Week2'!$I:$I)+SUMIF('Week3'!$A:$A,$A179,'Week3'!$I:$I)+SUMIF('Week4'!$A:$A,$A179,'Week4'!$I:$I)</f>
        <v/>
      </c>
      <c r="J179" s="7">
        <f>SUMIF('Week1'!$A:$A,$A179,'Week1'!$J:$J)+SUMIF('Week2'!$A:$A,$A179,'Week2'!$J:$J)+SUMIF('Week3'!$A:$A,$A179,'Week3'!$J:$J)+SUMIF('Week4'!$A:$A,$A179,'Week4'!$J:$J)</f>
        <v/>
      </c>
      <c r="K179" s="7">
        <f>SUMIF('Week1'!$A:$A,$A179,'Week1'!$K:$K)+SUMIF('Week2'!$A:$A,$A179,'Week2'!$K:$K)+SUMIF('Week3'!$A:$A,$A179,'Week3'!$K:$K)+SUMIF('Week4'!$A:$A,$A179,'Week4'!$K:$K)</f>
        <v/>
      </c>
    </row>
    <row r="180">
      <c r="A180" s="6" t="inlineStr">
        <is>
          <t>PRASHANT CANGI</t>
        </is>
      </c>
      <c r="B180" s="6" t="inlineStr">
        <is>
          <t>PROD PREPARATION</t>
        </is>
      </c>
      <c r="C180" s="7" t="n">
        <v>483</v>
      </c>
      <c r="D180" s="7">
        <f>SUMIF('Week1'!$A:$A,$A180,'Week1'!$D:$D)+SUMIF('Week2'!$A:$A,$A180,'Week2'!$D:$D)+SUMIF('Week3'!$A:$A,$A180,'Week3'!$D:$D)+SUMIF('Week4'!$A:$A,$A180,'Week4'!$D:$D)</f>
        <v/>
      </c>
      <c r="E180" s="7">
        <f>SUMIF('Week1'!$A:$A,$A180,'Week1'!$E:$E)+SUMIF('Week2'!$A:$A,$A180,'Week2'!$E:$E)+SUMIF('Week3'!$A:$A,$A180,'Week3'!$E:$E)+SUMIF('Week4'!$A:$A,$A180,'Week4'!$E:$E)</f>
        <v/>
      </c>
      <c r="F180" s="7">
        <f>SUMIF('Week1'!$A:$A,$A180,'Week1'!$F:$F)+SUMIF('Week2'!$A:$A,$A180,'Week2'!$F:$F)+SUMIF('Week3'!$A:$A,$A180,'Week3'!$F:$F)+SUMIF('Week4'!$A:$A,$A180,'Week4'!$F:$F)</f>
        <v/>
      </c>
      <c r="G180" s="7">
        <f>SUMIF('Week1'!$A:$A,$A180,'Week1'!$G:$G)+SUMIF('Week2'!$A:$A,$A180,'Week2'!$G:$G)+SUMIF('Week3'!$A:$A,$A180,'Week3'!$G:$G)+SUMIF('Week4'!$A:$A,$A180,'Week4'!$G:$G)</f>
        <v/>
      </c>
      <c r="H180" s="7">
        <f>SUMIF('Week1'!$A:$A,$A180,'Week1'!$H:$H)+SUMIF('Week2'!$A:$A,$A180,'Week2'!$H:$H)+SUMIF('Week3'!$A:$A,$A180,'Week3'!$H:$H)+SUMIF('Week4'!$A:$A,$A180,'Week4'!$H:$H)</f>
        <v/>
      </c>
      <c r="I180" s="7">
        <f>SUMIF('Week1'!$A:$A,$A180,'Week1'!$I:$I)+SUMIF('Week2'!$A:$A,$A180,'Week2'!$I:$I)+SUMIF('Week3'!$A:$A,$A180,'Week3'!$I:$I)+SUMIF('Week4'!$A:$A,$A180,'Week4'!$I:$I)</f>
        <v/>
      </c>
      <c r="J180" s="7">
        <f>SUMIF('Week1'!$A:$A,$A180,'Week1'!$J:$J)+SUMIF('Week2'!$A:$A,$A180,'Week2'!$J:$J)+SUMIF('Week3'!$A:$A,$A180,'Week3'!$J:$J)+SUMIF('Week4'!$A:$A,$A180,'Week4'!$J:$J)</f>
        <v/>
      </c>
      <c r="K180" s="7">
        <f>SUMIF('Week1'!$A:$A,$A180,'Week1'!$K:$K)+SUMIF('Week2'!$A:$A,$A180,'Week2'!$K:$K)+SUMIF('Week3'!$A:$A,$A180,'Week3'!$K:$K)+SUMIF('Week4'!$A:$A,$A180,'Week4'!$K:$K)</f>
        <v/>
      </c>
    </row>
    <row r="181">
      <c r="A181" s="6" t="inlineStr">
        <is>
          <t>REMY FRANCISCO FERNANDES</t>
        </is>
      </c>
      <c r="B181" s="6" t="inlineStr">
        <is>
          <t>PROD PREPARATION</t>
        </is>
      </c>
      <c r="C181" s="7" t="n">
        <v>613</v>
      </c>
      <c r="D181" s="7">
        <f>SUMIF('Week1'!$A:$A,$A181,'Week1'!$D:$D)+SUMIF('Week2'!$A:$A,$A181,'Week2'!$D:$D)+SUMIF('Week3'!$A:$A,$A181,'Week3'!$D:$D)+SUMIF('Week4'!$A:$A,$A181,'Week4'!$D:$D)</f>
        <v/>
      </c>
      <c r="E181" s="7">
        <f>SUMIF('Week1'!$A:$A,$A181,'Week1'!$E:$E)+SUMIF('Week2'!$A:$A,$A181,'Week2'!$E:$E)+SUMIF('Week3'!$A:$A,$A181,'Week3'!$E:$E)+SUMIF('Week4'!$A:$A,$A181,'Week4'!$E:$E)</f>
        <v/>
      </c>
      <c r="F181" s="7">
        <f>SUMIF('Week1'!$A:$A,$A181,'Week1'!$F:$F)+SUMIF('Week2'!$A:$A,$A181,'Week2'!$F:$F)+SUMIF('Week3'!$A:$A,$A181,'Week3'!$F:$F)+SUMIF('Week4'!$A:$A,$A181,'Week4'!$F:$F)</f>
        <v/>
      </c>
      <c r="G181" s="7">
        <f>SUMIF('Week1'!$A:$A,$A181,'Week1'!$G:$G)+SUMIF('Week2'!$A:$A,$A181,'Week2'!$G:$G)+SUMIF('Week3'!$A:$A,$A181,'Week3'!$G:$G)+SUMIF('Week4'!$A:$A,$A181,'Week4'!$G:$G)</f>
        <v/>
      </c>
      <c r="H181" s="7">
        <f>SUMIF('Week1'!$A:$A,$A181,'Week1'!$H:$H)+SUMIF('Week2'!$A:$A,$A181,'Week2'!$H:$H)+SUMIF('Week3'!$A:$A,$A181,'Week3'!$H:$H)+SUMIF('Week4'!$A:$A,$A181,'Week4'!$H:$H)</f>
        <v/>
      </c>
      <c r="I181" s="7">
        <f>SUMIF('Week1'!$A:$A,$A181,'Week1'!$I:$I)+SUMIF('Week2'!$A:$A,$A181,'Week2'!$I:$I)+SUMIF('Week3'!$A:$A,$A181,'Week3'!$I:$I)+SUMIF('Week4'!$A:$A,$A181,'Week4'!$I:$I)</f>
        <v/>
      </c>
      <c r="J181" s="7">
        <f>SUMIF('Week1'!$A:$A,$A181,'Week1'!$J:$J)+SUMIF('Week2'!$A:$A,$A181,'Week2'!$J:$J)+SUMIF('Week3'!$A:$A,$A181,'Week3'!$J:$J)+SUMIF('Week4'!$A:$A,$A181,'Week4'!$J:$J)</f>
        <v/>
      </c>
      <c r="K181" s="7">
        <f>SUMIF('Week1'!$A:$A,$A181,'Week1'!$K:$K)+SUMIF('Week2'!$A:$A,$A181,'Week2'!$K:$K)+SUMIF('Week3'!$A:$A,$A181,'Week3'!$K:$K)+SUMIF('Week4'!$A:$A,$A181,'Week4'!$K:$K)</f>
        <v/>
      </c>
    </row>
    <row r="182">
      <c r="A182" s="6" t="inlineStr">
        <is>
          <t>ANDRE SILVA</t>
        </is>
      </c>
      <c r="B182" s="6" t="inlineStr">
        <is>
          <t>PROD PREPARATION</t>
        </is>
      </c>
      <c r="C182" s="7" t="n">
        <v>546</v>
      </c>
      <c r="D182" s="7">
        <f>SUMIF('Week1'!$A:$A,$A182,'Week1'!$D:$D)+SUMIF('Week2'!$A:$A,$A182,'Week2'!$D:$D)+SUMIF('Week3'!$A:$A,$A182,'Week3'!$D:$D)+SUMIF('Week4'!$A:$A,$A182,'Week4'!$D:$D)</f>
        <v/>
      </c>
      <c r="E182" s="7">
        <f>SUMIF('Week1'!$A:$A,$A182,'Week1'!$E:$E)+SUMIF('Week2'!$A:$A,$A182,'Week2'!$E:$E)+SUMIF('Week3'!$A:$A,$A182,'Week3'!$E:$E)+SUMIF('Week4'!$A:$A,$A182,'Week4'!$E:$E)</f>
        <v/>
      </c>
      <c r="F182" s="7">
        <f>SUMIF('Week1'!$A:$A,$A182,'Week1'!$F:$F)+SUMIF('Week2'!$A:$A,$A182,'Week2'!$F:$F)+SUMIF('Week3'!$A:$A,$A182,'Week3'!$F:$F)+SUMIF('Week4'!$A:$A,$A182,'Week4'!$F:$F)</f>
        <v/>
      </c>
      <c r="G182" s="7">
        <f>SUMIF('Week1'!$A:$A,$A182,'Week1'!$G:$G)+SUMIF('Week2'!$A:$A,$A182,'Week2'!$G:$G)+SUMIF('Week3'!$A:$A,$A182,'Week3'!$G:$G)+SUMIF('Week4'!$A:$A,$A182,'Week4'!$G:$G)</f>
        <v/>
      </c>
      <c r="H182" s="7">
        <f>SUMIF('Week1'!$A:$A,$A182,'Week1'!$H:$H)+SUMIF('Week2'!$A:$A,$A182,'Week2'!$H:$H)+SUMIF('Week3'!$A:$A,$A182,'Week3'!$H:$H)+SUMIF('Week4'!$A:$A,$A182,'Week4'!$H:$H)</f>
        <v/>
      </c>
      <c r="I182" s="7">
        <f>SUMIF('Week1'!$A:$A,$A182,'Week1'!$I:$I)+SUMIF('Week2'!$A:$A,$A182,'Week2'!$I:$I)+SUMIF('Week3'!$A:$A,$A182,'Week3'!$I:$I)+SUMIF('Week4'!$A:$A,$A182,'Week4'!$I:$I)</f>
        <v/>
      </c>
      <c r="J182" s="7">
        <f>SUMIF('Week1'!$A:$A,$A182,'Week1'!$J:$J)+SUMIF('Week2'!$A:$A,$A182,'Week2'!$J:$J)+SUMIF('Week3'!$A:$A,$A182,'Week3'!$J:$J)+SUMIF('Week4'!$A:$A,$A182,'Week4'!$J:$J)</f>
        <v/>
      </c>
      <c r="K182" s="7">
        <f>SUMIF('Week1'!$A:$A,$A182,'Week1'!$K:$K)+SUMIF('Week2'!$A:$A,$A182,'Week2'!$K:$K)+SUMIF('Week3'!$A:$A,$A182,'Week3'!$K:$K)+SUMIF('Week4'!$A:$A,$A182,'Week4'!$K:$K)</f>
        <v/>
      </c>
    </row>
    <row r="183">
      <c r="A183" s="6" t="inlineStr">
        <is>
          <t>MAGDALENA SHAH</t>
        </is>
      </c>
      <c r="B183" s="6" t="inlineStr">
        <is>
          <t>TECH TECHNICAL</t>
        </is>
      </c>
      <c r="C183" s="7" t="n">
        <v>308</v>
      </c>
      <c r="D183" s="7">
        <f>SUMIF('Week1'!$A:$A,$A183,'Week1'!$D:$D)+SUMIF('Week2'!$A:$A,$A183,'Week2'!$D:$D)+SUMIF('Week3'!$A:$A,$A183,'Week3'!$D:$D)+SUMIF('Week4'!$A:$A,$A183,'Week4'!$D:$D)</f>
        <v/>
      </c>
      <c r="E183" s="7">
        <f>SUMIF('Week1'!$A:$A,$A183,'Week1'!$E:$E)+SUMIF('Week2'!$A:$A,$A183,'Week2'!$E:$E)+SUMIF('Week3'!$A:$A,$A183,'Week3'!$E:$E)+SUMIF('Week4'!$A:$A,$A183,'Week4'!$E:$E)</f>
        <v/>
      </c>
      <c r="F183" s="7">
        <f>SUMIF('Week1'!$A:$A,$A183,'Week1'!$F:$F)+SUMIF('Week2'!$A:$A,$A183,'Week2'!$F:$F)+SUMIF('Week3'!$A:$A,$A183,'Week3'!$F:$F)+SUMIF('Week4'!$A:$A,$A183,'Week4'!$F:$F)</f>
        <v/>
      </c>
      <c r="G183" s="7">
        <f>SUMIF('Week1'!$A:$A,$A183,'Week1'!$G:$G)+SUMIF('Week2'!$A:$A,$A183,'Week2'!$G:$G)+SUMIF('Week3'!$A:$A,$A183,'Week3'!$G:$G)+SUMIF('Week4'!$A:$A,$A183,'Week4'!$G:$G)</f>
        <v/>
      </c>
      <c r="H183" s="7">
        <f>SUMIF('Week1'!$A:$A,$A183,'Week1'!$H:$H)+SUMIF('Week2'!$A:$A,$A183,'Week2'!$H:$H)+SUMIF('Week3'!$A:$A,$A183,'Week3'!$H:$H)+SUMIF('Week4'!$A:$A,$A183,'Week4'!$H:$H)</f>
        <v/>
      </c>
      <c r="I183" s="7">
        <f>SUMIF('Week1'!$A:$A,$A183,'Week1'!$I:$I)+SUMIF('Week2'!$A:$A,$A183,'Week2'!$I:$I)+SUMIF('Week3'!$A:$A,$A183,'Week3'!$I:$I)+SUMIF('Week4'!$A:$A,$A183,'Week4'!$I:$I)</f>
        <v/>
      </c>
      <c r="J183" s="7">
        <f>SUMIF('Week1'!$A:$A,$A183,'Week1'!$J:$J)+SUMIF('Week2'!$A:$A,$A183,'Week2'!$J:$J)+SUMIF('Week3'!$A:$A,$A183,'Week3'!$J:$J)+SUMIF('Week4'!$A:$A,$A183,'Week4'!$J:$J)</f>
        <v/>
      </c>
      <c r="K183" s="7">
        <f>SUMIF('Week1'!$A:$A,$A183,'Week1'!$K:$K)+SUMIF('Week2'!$A:$A,$A183,'Week2'!$K:$K)+SUMIF('Week3'!$A:$A,$A183,'Week3'!$K:$K)+SUMIF('Week4'!$A:$A,$A183,'Week4'!$K:$K)</f>
        <v/>
      </c>
    </row>
    <row r="184">
      <c r="A184" s="6" t="inlineStr">
        <is>
          <t>FERNANDES MINGUEL</t>
        </is>
      </c>
      <c r="B184" s="6" t="inlineStr">
        <is>
          <t>PROD PREPARATION</t>
        </is>
      </c>
      <c r="C184" s="7" t="n">
        <v>485</v>
      </c>
      <c r="D184" s="7">
        <f>SUMIF('Week1'!$A:$A,$A184,'Week1'!$D:$D)+SUMIF('Week2'!$A:$A,$A184,'Week2'!$D:$D)+SUMIF('Week3'!$A:$A,$A184,'Week3'!$D:$D)+SUMIF('Week4'!$A:$A,$A184,'Week4'!$D:$D)</f>
        <v/>
      </c>
      <c r="E184" s="7">
        <f>SUMIF('Week1'!$A:$A,$A184,'Week1'!$E:$E)+SUMIF('Week2'!$A:$A,$A184,'Week2'!$E:$E)+SUMIF('Week3'!$A:$A,$A184,'Week3'!$E:$E)+SUMIF('Week4'!$A:$A,$A184,'Week4'!$E:$E)</f>
        <v/>
      </c>
      <c r="F184" s="7">
        <f>SUMIF('Week1'!$A:$A,$A184,'Week1'!$F:$F)+SUMIF('Week2'!$A:$A,$A184,'Week2'!$F:$F)+SUMIF('Week3'!$A:$A,$A184,'Week3'!$F:$F)+SUMIF('Week4'!$A:$A,$A184,'Week4'!$F:$F)</f>
        <v/>
      </c>
      <c r="G184" s="7">
        <f>SUMIF('Week1'!$A:$A,$A184,'Week1'!$G:$G)+SUMIF('Week2'!$A:$A,$A184,'Week2'!$G:$G)+SUMIF('Week3'!$A:$A,$A184,'Week3'!$G:$G)+SUMIF('Week4'!$A:$A,$A184,'Week4'!$G:$G)</f>
        <v/>
      </c>
      <c r="H184" s="7">
        <f>SUMIF('Week1'!$A:$A,$A184,'Week1'!$H:$H)+SUMIF('Week2'!$A:$A,$A184,'Week2'!$H:$H)+SUMIF('Week3'!$A:$A,$A184,'Week3'!$H:$H)+SUMIF('Week4'!$A:$A,$A184,'Week4'!$H:$H)</f>
        <v/>
      </c>
      <c r="I184" s="7">
        <f>SUMIF('Week1'!$A:$A,$A184,'Week1'!$I:$I)+SUMIF('Week2'!$A:$A,$A184,'Week2'!$I:$I)+SUMIF('Week3'!$A:$A,$A184,'Week3'!$I:$I)+SUMIF('Week4'!$A:$A,$A184,'Week4'!$I:$I)</f>
        <v/>
      </c>
      <c r="J184" s="7">
        <f>SUMIF('Week1'!$A:$A,$A184,'Week1'!$J:$J)+SUMIF('Week2'!$A:$A,$A184,'Week2'!$J:$J)+SUMIF('Week3'!$A:$A,$A184,'Week3'!$J:$J)+SUMIF('Week4'!$A:$A,$A184,'Week4'!$J:$J)</f>
        <v/>
      </c>
      <c r="K184" s="7">
        <f>SUMIF('Week1'!$A:$A,$A184,'Week1'!$K:$K)+SUMIF('Week2'!$A:$A,$A184,'Week2'!$K:$K)+SUMIF('Week3'!$A:$A,$A184,'Week3'!$K:$K)+SUMIF('Week4'!$A:$A,$A184,'Week4'!$K:$K)</f>
        <v/>
      </c>
    </row>
    <row r="185">
      <c r="A185" s="6" t="inlineStr">
        <is>
          <t>GURPREET SINGH</t>
        </is>
      </c>
      <c r="B185" s="6" t="inlineStr">
        <is>
          <t>PROD PREPARATION</t>
        </is>
      </c>
      <c r="C185" s="7" t="n">
        <v>675</v>
      </c>
      <c r="D185" s="7">
        <f>SUMIF('Week1'!$A:$A,$A185,'Week1'!$D:$D)+SUMIF('Week2'!$A:$A,$A185,'Week2'!$D:$D)+SUMIF('Week3'!$A:$A,$A185,'Week3'!$D:$D)+SUMIF('Week4'!$A:$A,$A185,'Week4'!$D:$D)</f>
        <v/>
      </c>
      <c r="E185" s="7">
        <f>SUMIF('Week1'!$A:$A,$A185,'Week1'!$E:$E)+SUMIF('Week2'!$A:$A,$A185,'Week2'!$E:$E)+SUMIF('Week3'!$A:$A,$A185,'Week3'!$E:$E)+SUMIF('Week4'!$A:$A,$A185,'Week4'!$E:$E)</f>
        <v/>
      </c>
      <c r="F185" s="7">
        <f>SUMIF('Week1'!$A:$A,$A185,'Week1'!$F:$F)+SUMIF('Week2'!$A:$A,$A185,'Week2'!$F:$F)+SUMIF('Week3'!$A:$A,$A185,'Week3'!$F:$F)+SUMIF('Week4'!$A:$A,$A185,'Week4'!$F:$F)</f>
        <v/>
      </c>
      <c r="G185" s="7">
        <f>SUMIF('Week1'!$A:$A,$A185,'Week1'!$G:$G)+SUMIF('Week2'!$A:$A,$A185,'Week2'!$G:$G)+SUMIF('Week3'!$A:$A,$A185,'Week3'!$G:$G)+SUMIF('Week4'!$A:$A,$A185,'Week4'!$G:$G)</f>
        <v/>
      </c>
      <c r="H185" s="7">
        <f>SUMIF('Week1'!$A:$A,$A185,'Week1'!$H:$H)+SUMIF('Week2'!$A:$A,$A185,'Week2'!$H:$H)+SUMIF('Week3'!$A:$A,$A185,'Week3'!$H:$H)+SUMIF('Week4'!$A:$A,$A185,'Week4'!$H:$H)</f>
        <v/>
      </c>
      <c r="I185" s="7">
        <f>SUMIF('Week1'!$A:$A,$A185,'Week1'!$I:$I)+SUMIF('Week2'!$A:$A,$A185,'Week2'!$I:$I)+SUMIF('Week3'!$A:$A,$A185,'Week3'!$I:$I)+SUMIF('Week4'!$A:$A,$A185,'Week4'!$I:$I)</f>
        <v/>
      </c>
      <c r="J185" s="7">
        <f>SUMIF('Week1'!$A:$A,$A185,'Week1'!$J:$J)+SUMIF('Week2'!$A:$A,$A185,'Week2'!$J:$J)+SUMIF('Week3'!$A:$A,$A185,'Week3'!$J:$J)+SUMIF('Week4'!$A:$A,$A185,'Week4'!$J:$J)</f>
        <v/>
      </c>
      <c r="K185" s="7">
        <f>SUMIF('Week1'!$A:$A,$A185,'Week1'!$K:$K)+SUMIF('Week2'!$A:$A,$A185,'Week2'!$K:$K)+SUMIF('Week3'!$A:$A,$A185,'Week3'!$K:$K)+SUMIF('Week4'!$A:$A,$A185,'Week4'!$K:$K)</f>
        <v/>
      </c>
    </row>
    <row r="186">
      <c r="A186" s="6" t="inlineStr">
        <is>
          <t>MISHRATA HIMANSHU</t>
        </is>
      </c>
      <c r="B186" s="6" t="inlineStr">
        <is>
          <t>PROD TABLE</t>
        </is>
      </c>
      <c r="C186" s="7" t="n">
        <v>702</v>
      </c>
      <c r="D186" s="7">
        <f>SUMIF('Week1'!$A:$A,$A186,'Week1'!$D:$D)+SUMIF('Week2'!$A:$A,$A186,'Week2'!$D:$D)+SUMIF('Week3'!$A:$A,$A186,'Week3'!$D:$D)+SUMIF('Week4'!$A:$A,$A186,'Week4'!$D:$D)</f>
        <v/>
      </c>
      <c r="E186" s="7">
        <f>SUMIF('Week1'!$A:$A,$A186,'Week1'!$E:$E)+SUMIF('Week2'!$A:$A,$A186,'Week2'!$E:$E)+SUMIF('Week3'!$A:$A,$A186,'Week3'!$E:$E)+SUMIF('Week4'!$A:$A,$A186,'Week4'!$E:$E)</f>
        <v/>
      </c>
      <c r="F186" s="7">
        <f>SUMIF('Week1'!$A:$A,$A186,'Week1'!$F:$F)+SUMIF('Week2'!$A:$A,$A186,'Week2'!$F:$F)+SUMIF('Week3'!$A:$A,$A186,'Week3'!$F:$F)+SUMIF('Week4'!$A:$A,$A186,'Week4'!$F:$F)</f>
        <v/>
      </c>
      <c r="G186" s="7">
        <f>SUMIF('Week1'!$A:$A,$A186,'Week1'!$G:$G)+SUMIF('Week2'!$A:$A,$A186,'Week2'!$G:$G)+SUMIF('Week3'!$A:$A,$A186,'Week3'!$G:$G)+SUMIF('Week4'!$A:$A,$A186,'Week4'!$G:$G)</f>
        <v/>
      </c>
      <c r="H186" s="7">
        <f>SUMIF('Week1'!$A:$A,$A186,'Week1'!$H:$H)+SUMIF('Week2'!$A:$A,$A186,'Week2'!$H:$H)+SUMIF('Week3'!$A:$A,$A186,'Week3'!$H:$H)+SUMIF('Week4'!$A:$A,$A186,'Week4'!$H:$H)</f>
        <v/>
      </c>
      <c r="I186" s="7">
        <f>SUMIF('Week1'!$A:$A,$A186,'Week1'!$I:$I)+SUMIF('Week2'!$A:$A,$A186,'Week2'!$I:$I)+SUMIF('Week3'!$A:$A,$A186,'Week3'!$I:$I)+SUMIF('Week4'!$A:$A,$A186,'Week4'!$I:$I)</f>
        <v/>
      </c>
      <c r="J186" s="7">
        <f>SUMIF('Week1'!$A:$A,$A186,'Week1'!$J:$J)+SUMIF('Week2'!$A:$A,$A186,'Week2'!$J:$J)+SUMIF('Week3'!$A:$A,$A186,'Week3'!$J:$J)+SUMIF('Week4'!$A:$A,$A186,'Week4'!$J:$J)</f>
        <v/>
      </c>
      <c r="K186" s="7">
        <f>SUMIF('Week1'!$A:$A,$A186,'Week1'!$K:$K)+SUMIF('Week2'!$A:$A,$A186,'Week2'!$K:$K)+SUMIF('Week3'!$A:$A,$A186,'Week3'!$K:$K)+SUMIF('Week4'!$A:$A,$A186,'Week4'!$K:$K)</f>
        <v/>
      </c>
    </row>
    <row r="187">
      <c r="A187" s="6" t="inlineStr">
        <is>
          <t>BHAVNA IRA</t>
        </is>
      </c>
      <c r="B187" s="6" t="inlineStr">
        <is>
          <t>PROD TABLE</t>
        </is>
      </c>
      <c r="C187" s="7" t="n">
        <v>703</v>
      </c>
      <c r="D187" s="7">
        <f>SUMIF('Week1'!$A:$A,$A187,'Week1'!$D:$D)+SUMIF('Week2'!$A:$A,$A187,'Week2'!$D:$D)+SUMIF('Week3'!$A:$A,$A187,'Week3'!$D:$D)+SUMIF('Week4'!$A:$A,$A187,'Week4'!$D:$D)</f>
        <v/>
      </c>
      <c r="E187" s="7">
        <f>SUMIF('Week1'!$A:$A,$A187,'Week1'!$E:$E)+SUMIF('Week2'!$A:$A,$A187,'Week2'!$E:$E)+SUMIF('Week3'!$A:$A,$A187,'Week3'!$E:$E)+SUMIF('Week4'!$A:$A,$A187,'Week4'!$E:$E)</f>
        <v/>
      </c>
      <c r="F187" s="7">
        <f>SUMIF('Week1'!$A:$A,$A187,'Week1'!$F:$F)+SUMIF('Week2'!$A:$A,$A187,'Week2'!$F:$F)+SUMIF('Week3'!$A:$A,$A187,'Week3'!$F:$F)+SUMIF('Week4'!$A:$A,$A187,'Week4'!$F:$F)</f>
        <v/>
      </c>
      <c r="G187" s="7">
        <f>SUMIF('Week1'!$A:$A,$A187,'Week1'!$G:$G)+SUMIF('Week2'!$A:$A,$A187,'Week2'!$G:$G)+SUMIF('Week3'!$A:$A,$A187,'Week3'!$G:$G)+SUMIF('Week4'!$A:$A,$A187,'Week4'!$G:$G)</f>
        <v/>
      </c>
      <c r="H187" s="7">
        <f>SUMIF('Week1'!$A:$A,$A187,'Week1'!$H:$H)+SUMIF('Week2'!$A:$A,$A187,'Week2'!$H:$H)+SUMIF('Week3'!$A:$A,$A187,'Week3'!$H:$H)+SUMIF('Week4'!$A:$A,$A187,'Week4'!$H:$H)</f>
        <v/>
      </c>
      <c r="I187" s="7">
        <f>SUMIF('Week1'!$A:$A,$A187,'Week1'!$I:$I)+SUMIF('Week2'!$A:$A,$A187,'Week2'!$I:$I)+SUMIF('Week3'!$A:$A,$A187,'Week3'!$I:$I)+SUMIF('Week4'!$A:$A,$A187,'Week4'!$I:$I)</f>
        <v/>
      </c>
      <c r="J187" s="7">
        <f>SUMIF('Week1'!$A:$A,$A187,'Week1'!$J:$J)+SUMIF('Week2'!$A:$A,$A187,'Week2'!$J:$J)+SUMIF('Week3'!$A:$A,$A187,'Week3'!$J:$J)+SUMIF('Week4'!$A:$A,$A187,'Week4'!$J:$J)</f>
        <v/>
      </c>
      <c r="K187" s="7">
        <f>SUMIF('Week1'!$A:$A,$A187,'Week1'!$K:$K)+SUMIF('Week2'!$A:$A,$A187,'Week2'!$K:$K)+SUMIF('Week3'!$A:$A,$A187,'Week3'!$K:$K)+SUMIF('Week4'!$A:$A,$A187,'Week4'!$K:$K)</f>
        <v/>
      </c>
    </row>
    <row r="188">
      <c r="A188" s="6" t="inlineStr">
        <is>
          <t>SUSHILA JIREL</t>
        </is>
      </c>
      <c r="B188" s="6" t="inlineStr">
        <is>
          <t>PROD TABLE</t>
        </is>
      </c>
      <c r="C188" s="7" t="n">
        <v>711</v>
      </c>
      <c r="D188" s="7">
        <f>SUMIF('Week1'!$A:$A,$A188,'Week1'!$D:$D)+SUMIF('Week2'!$A:$A,$A188,'Week2'!$D:$D)+SUMIF('Week3'!$A:$A,$A188,'Week3'!$D:$D)+SUMIF('Week4'!$A:$A,$A188,'Week4'!$D:$D)</f>
        <v/>
      </c>
      <c r="E188" s="7">
        <f>SUMIF('Week1'!$A:$A,$A188,'Week1'!$E:$E)+SUMIF('Week2'!$A:$A,$A188,'Week2'!$E:$E)+SUMIF('Week3'!$A:$A,$A188,'Week3'!$E:$E)+SUMIF('Week4'!$A:$A,$A188,'Week4'!$E:$E)</f>
        <v/>
      </c>
      <c r="F188" s="7">
        <f>SUMIF('Week1'!$A:$A,$A188,'Week1'!$F:$F)+SUMIF('Week2'!$A:$A,$A188,'Week2'!$F:$F)+SUMIF('Week3'!$A:$A,$A188,'Week3'!$F:$F)+SUMIF('Week4'!$A:$A,$A188,'Week4'!$F:$F)</f>
        <v/>
      </c>
      <c r="G188" s="7">
        <f>SUMIF('Week1'!$A:$A,$A188,'Week1'!$G:$G)+SUMIF('Week2'!$A:$A,$A188,'Week2'!$G:$G)+SUMIF('Week3'!$A:$A,$A188,'Week3'!$G:$G)+SUMIF('Week4'!$A:$A,$A188,'Week4'!$G:$G)</f>
        <v/>
      </c>
      <c r="H188" s="7">
        <f>SUMIF('Week1'!$A:$A,$A188,'Week1'!$H:$H)+SUMIF('Week2'!$A:$A,$A188,'Week2'!$H:$H)+SUMIF('Week3'!$A:$A,$A188,'Week3'!$H:$H)+SUMIF('Week4'!$A:$A,$A188,'Week4'!$H:$H)</f>
        <v/>
      </c>
      <c r="I188" s="7">
        <f>SUMIF('Week1'!$A:$A,$A188,'Week1'!$I:$I)+SUMIF('Week2'!$A:$A,$A188,'Week2'!$I:$I)+SUMIF('Week3'!$A:$A,$A188,'Week3'!$I:$I)+SUMIF('Week4'!$A:$A,$A188,'Week4'!$I:$I)</f>
        <v/>
      </c>
      <c r="J188" s="7">
        <f>SUMIF('Week1'!$A:$A,$A188,'Week1'!$J:$J)+SUMIF('Week2'!$A:$A,$A188,'Week2'!$J:$J)+SUMIF('Week3'!$A:$A,$A188,'Week3'!$J:$J)+SUMIF('Week4'!$A:$A,$A188,'Week4'!$J:$J)</f>
        <v/>
      </c>
      <c r="K188" s="7">
        <f>SUMIF('Week1'!$A:$A,$A188,'Week1'!$K:$K)+SUMIF('Week2'!$A:$A,$A188,'Week2'!$K:$K)+SUMIF('Week3'!$A:$A,$A188,'Week3'!$K:$K)+SUMIF('Week4'!$A:$A,$A188,'Week4'!$K:$K)</f>
        <v/>
      </c>
    </row>
    <row r="189">
      <c r="A189" s="6" t="inlineStr">
        <is>
          <t>PARUL LACMANE</t>
        </is>
      </c>
      <c r="B189" s="6" t="inlineStr">
        <is>
          <t>PROD TABLE</t>
        </is>
      </c>
      <c r="C189" s="7" t="n">
        <v>440</v>
      </c>
      <c r="D189" s="7">
        <f>SUMIF('Week1'!$A:$A,$A189,'Week1'!$D:$D)+SUMIF('Week2'!$A:$A,$A189,'Week2'!$D:$D)+SUMIF('Week3'!$A:$A,$A189,'Week3'!$D:$D)+SUMIF('Week4'!$A:$A,$A189,'Week4'!$D:$D)</f>
        <v/>
      </c>
      <c r="E189" s="7">
        <f>SUMIF('Week1'!$A:$A,$A189,'Week1'!$E:$E)+SUMIF('Week2'!$A:$A,$A189,'Week2'!$E:$E)+SUMIF('Week3'!$A:$A,$A189,'Week3'!$E:$E)+SUMIF('Week4'!$A:$A,$A189,'Week4'!$E:$E)</f>
        <v/>
      </c>
      <c r="F189" s="7">
        <f>SUMIF('Week1'!$A:$A,$A189,'Week1'!$F:$F)+SUMIF('Week2'!$A:$A,$A189,'Week2'!$F:$F)+SUMIF('Week3'!$A:$A,$A189,'Week3'!$F:$F)+SUMIF('Week4'!$A:$A,$A189,'Week4'!$F:$F)</f>
        <v/>
      </c>
      <c r="G189" s="7">
        <f>SUMIF('Week1'!$A:$A,$A189,'Week1'!$G:$G)+SUMIF('Week2'!$A:$A,$A189,'Week2'!$G:$G)+SUMIF('Week3'!$A:$A,$A189,'Week3'!$G:$G)+SUMIF('Week4'!$A:$A,$A189,'Week4'!$G:$G)</f>
        <v/>
      </c>
      <c r="H189" s="7">
        <f>SUMIF('Week1'!$A:$A,$A189,'Week1'!$H:$H)+SUMIF('Week2'!$A:$A,$A189,'Week2'!$H:$H)+SUMIF('Week3'!$A:$A,$A189,'Week3'!$H:$H)+SUMIF('Week4'!$A:$A,$A189,'Week4'!$H:$H)</f>
        <v/>
      </c>
      <c r="I189" s="7">
        <f>SUMIF('Week1'!$A:$A,$A189,'Week1'!$I:$I)+SUMIF('Week2'!$A:$A,$A189,'Week2'!$I:$I)+SUMIF('Week3'!$A:$A,$A189,'Week3'!$I:$I)+SUMIF('Week4'!$A:$A,$A189,'Week4'!$I:$I)</f>
        <v/>
      </c>
      <c r="J189" s="7">
        <f>SUMIF('Week1'!$A:$A,$A189,'Week1'!$J:$J)+SUMIF('Week2'!$A:$A,$A189,'Week2'!$J:$J)+SUMIF('Week3'!$A:$A,$A189,'Week3'!$J:$J)+SUMIF('Week4'!$A:$A,$A189,'Week4'!$J:$J)</f>
        <v/>
      </c>
      <c r="K189" s="7">
        <f>SUMIF('Week1'!$A:$A,$A189,'Week1'!$K:$K)+SUMIF('Week2'!$A:$A,$A189,'Week2'!$K:$K)+SUMIF('Week3'!$A:$A,$A189,'Week3'!$K:$K)+SUMIF('Week4'!$A:$A,$A189,'Week4'!$K:$K)</f>
        <v/>
      </c>
    </row>
    <row r="190">
      <c r="A190" s="6" t="inlineStr">
        <is>
          <t>RAMIBAI RATNA</t>
        </is>
      </c>
      <c r="B190" s="6" t="inlineStr">
        <is>
          <t>PROD TABLE</t>
        </is>
      </c>
      <c r="C190" s="7" t="n">
        <v>615</v>
      </c>
      <c r="D190" s="7">
        <f>SUMIF('Week1'!$A:$A,$A190,'Week1'!$D:$D)+SUMIF('Week2'!$A:$A,$A190,'Week2'!$D:$D)+SUMIF('Week3'!$A:$A,$A190,'Week3'!$D:$D)+SUMIF('Week4'!$A:$A,$A190,'Week4'!$D:$D)</f>
        <v/>
      </c>
      <c r="E190" s="7">
        <f>SUMIF('Week1'!$A:$A,$A190,'Week1'!$E:$E)+SUMIF('Week2'!$A:$A,$A190,'Week2'!$E:$E)+SUMIF('Week3'!$A:$A,$A190,'Week3'!$E:$E)+SUMIF('Week4'!$A:$A,$A190,'Week4'!$E:$E)</f>
        <v/>
      </c>
      <c r="F190" s="7">
        <f>SUMIF('Week1'!$A:$A,$A190,'Week1'!$F:$F)+SUMIF('Week2'!$A:$A,$A190,'Week2'!$F:$F)+SUMIF('Week3'!$A:$A,$A190,'Week3'!$F:$F)+SUMIF('Week4'!$A:$A,$A190,'Week4'!$F:$F)</f>
        <v/>
      </c>
      <c r="G190" s="7">
        <f>SUMIF('Week1'!$A:$A,$A190,'Week1'!$G:$G)+SUMIF('Week2'!$A:$A,$A190,'Week2'!$G:$G)+SUMIF('Week3'!$A:$A,$A190,'Week3'!$G:$G)+SUMIF('Week4'!$A:$A,$A190,'Week4'!$G:$G)</f>
        <v/>
      </c>
      <c r="H190" s="7">
        <f>SUMIF('Week1'!$A:$A,$A190,'Week1'!$H:$H)+SUMIF('Week2'!$A:$A,$A190,'Week2'!$H:$H)+SUMIF('Week3'!$A:$A,$A190,'Week3'!$H:$H)+SUMIF('Week4'!$A:$A,$A190,'Week4'!$H:$H)</f>
        <v/>
      </c>
      <c r="I190" s="7">
        <f>SUMIF('Week1'!$A:$A,$A190,'Week1'!$I:$I)+SUMIF('Week2'!$A:$A,$A190,'Week2'!$I:$I)+SUMIF('Week3'!$A:$A,$A190,'Week3'!$I:$I)+SUMIF('Week4'!$A:$A,$A190,'Week4'!$I:$I)</f>
        <v/>
      </c>
      <c r="J190" s="7">
        <f>SUMIF('Week1'!$A:$A,$A190,'Week1'!$J:$J)+SUMIF('Week2'!$A:$A,$A190,'Week2'!$J:$J)+SUMIF('Week3'!$A:$A,$A190,'Week3'!$J:$J)+SUMIF('Week4'!$A:$A,$A190,'Week4'!$J:$J)</f>
        <v/>
      </c>
      <c r="K190" s="7">
        <f>SUMIF('Week1'!$A:$A,$A190,'Week1'!$K:$K)+SUMIF('Week2'!$A:$A,$A190,'Week2'!$K:$K)+SUMIF('Week3'!$A:$A,$A190,'Week3'!$K:$K)+SUMIF('Week4'!$A:$A,$A190,'Week4'!$K:$K)</f>
        <v/>
      </c>
    </row>
    <row r="191">
      <c r="A191" s="6" t="inlineStr">
        <is>
          <t>LAXMIBAI SHAVJI</t>
        </is>
      </c>
      <c r="B191" s="6" t="inlineStr">
        <is>
          <t>PROD TABLE</t>
        </is>
      </c>
      <c r="C191" s="7" t="n">
        <v>699</v>
      </c>
      <c r="D191" s="7">
        <f>SUMIF('Week1'!$A:$A,$A191,'Week1'!$D:$D)+SUMIF('Week2'!$A:$A,$A191,'Week2'!$D:$D)+SUMIF('Week3'!$A:$A,$A191,'Week3'!$D:$D)+SUMIF('Week4'!$A:$A,$A191,'Week4'!$D:$D)</f>
        <v/>
      </c>
      <c r="E191" s="7">
        <f>SUMIF('Week1'!$A:$A,$A191,'Week1'!$E:$E)+SUMIF('Week2'!$A:$A,$A191,'Week2'!$E:$E)+SUMIF('Week3'!$A:$A,$A191,'Week3'!$E:$E)+SUMIF('Week4'!$A:$A,$A191,'Week4'!$E:$E)</f>
        <v/>
      </c>
      <c r="F191" s="7">
        <f>SUMIF('Week1'!$A:$A,$A191,'Week1'!$F:$F)+SUMIF('Week2'!$A:$A,$A191,'Week2'!$F:$F)+SUMIF('Week3'!$A:$A,$A191,'Week3'!$F:$F)+SUMIF('Week4'!$A:$A,$A191,'Week4'!$F:$F)</f>
        <v/>
      </c>
      <c r="G191" s="7">
        <f>SUMIF('Week1'!$A:$A,$A191,'Week1'!$G:$G)+SUMIF('Week2'!$A:$A,$A191,'Week2'!$G:$G)+SUMIF('Week3'!$A:$A,$A191,'Week3'!$G:$G)+SUMIF('Week4'!$A:$A,$A191,'Week4'!$G:$G)</f>
        <v/>
      </c>
      <c r="H191" s="7">
        <f>SUMIF('Week1'!$A:$A,$A191,'Week1'!$H:$H)+SUMIF('Week2'!$A:$A,$A191,'Week2'!$H:$H)+SUMIF('Week3'!$A:$A,$A191,'Week3'!$H:$H)+SUMIF('Week4'!$A:$A,$A191,'Week4'!$H:$H)</f>
        <v/>
      </c>
      <c r="I191" s="7">
        <f>SUMIF('Week1'!$A:$A,$A191,'Week1'!$I:$I)+SUMIF('Week2'!$A:$A,$A191,'Week2'!$I:$I)+SUMIF('Week3'!$A:$A,$A191,'Week3'!$I:$I)+SUMIF('Week4'!$A:$A,$A191,'Week4'!$I:$I)</f>
        <v/>
      </c>
      <c r="J191" s="7">
        <f>SUMIF('Week1'!$A:$A,$A191,'Week1'!$J:$J)+SUMIF('Week2'!$A:$A,$A191,'Week2'!$J:$J)+SUMIF('Week3'!$A:$A,$A191,'Week3'!$J:$J)+SUMIF('Week4'!$A:$A,$A191,'Week4'!$J:$J)</f>
        <v/>
      </c>
      <c r="K191" s="7">
        <f>SUMIF('Week1'!$A:$A,$A191,'Week1'!$K:$K)+SUMIF('Week2'!$A:$A,$A191,'Week2'!$K:$K)+SUMIF('Week3'!$A:$A,$A191,'Week3'!$K:$K)+SUMIF('Week4'!$A:$A,$A191,'Week4'!$K:$K)</f>
        <v/>
      </c>
    </row>
    <row r="192">
      <c r="A192" s="6" t="inlineStr">
        <is>
          <t>BHAGYAVANTI TEJESKUMAR</t>
        </is>
      </c>
      <c r="B192" s="6" t="inlineStr">
        <is>
          <t>PROD TABLE</t>
        </is>
      </c>
      <c r="C192" s="7" t="n">
        <v>722</v>
      </c>
      <c r="D192" s="7">
        <f>SUMIF('Week1'!$A:$A,$A192,'Week1'!$D:$D)+SUMIF('Week2'!$A:$A,$A192,'Week2'!$D:$D)+SUMIF('Week3'!$A:$A,$A192,'Week3'!$D:$D)+SUMIF('Week4'!$A:$A,$A192,'Week4'!$D:$D)</f>
        <v/>
      </c>
      <c r="E192" s="7">
        <f>SUMIF('Week1'!$A:$A,$A192,'Week1'!$E:$E)+SUMIF('Week2'!$A:$A,$A192,'Week2'!$E:$E)+SUMIF('Week3'!$A:$A,$A192,'Week3'!$E:$E)+SUMIF('Week4'!$A:$A,$A192,'Week4'!$E:$E)</f>
        <v/>
      </c>
      <c r="F192" s="7">
        <f>SUMIF('Week1'!$A:$A,$A192,'Week1'!$F:$F)+SUMIF('Week2'!$A:$A,$A192,'Week2'!$F:$F)+SUMIF('Week3'!$A:$A,$A192,'Week3'!$F:$F)+SUMIF('Week4'!$A:$A,$A192,'Week4'!$F:$F)</f>
        <v/>
      </c>
      <c r="G192" s="7">
        <f>SUMIF('Week1'!$A:$A,$A192,'Week1'!$G:$G)+SUMIF('Week2'!$A:$A,$A192,'Week2'!$G:$G)+SUMIF('Week3'!$A:$A,$A192,'Week3'!$G:$G)+SUMIF('Week4'!$A:$A,$A192,'Week4'!$G:$G)</f>
        <v/>
      </c>
      <c r="H192" s="7">
        <f>SUMIF('Week1'!$A:$A,$A192,'Week1'!$H:$H)+SUMIF('Week2'!$A:$A,$A192,'Week2'!$H:$H)+SUMIF('Week3'!$A:$A,$A192,'Week3'!$H:$H)+SUMIF('Week4'!$A:$A,$A192,'Week4'!$H:$H)</f>
        <v/>
      </c>
      <c r="I192" s="7">
        <f>SUMIF('Week1'!$A:$A,$A192,'Week1'!$I:$I)+SUMIF('Week2'!$A:$A,$A192,'Week2'!$I:$I)+SUMIF('Week3'!$A:$A,$A192,'Week3'!$I:$I)+SUMIF('Week4'!$A:$A,$A192,'Week4'!$I:$I)</f>
        <v/>
      </c>
      <c r="J192" s="7">
        <f>SUMIF('Week1'!$A:$A,$A192,'Week1'!$J:$J)+SUMIF('Week2'!$A:$A,$A192,'Week2'!$J:$J)+SUMIF('Week3'!$A:$A,$A192,'Week3'!$J:$J)+SUMIF('Week4'!$A:$A,$A192,'Week4'!$J:$J)</f>
        <v/>
      </c>
      <c r="K192" s="7">
        <f>SUMIF('Week1'!$A:$A,$A192,'Week1'!$K:$K)+SUMIF('Week2'!$A:$A,$A192,'Week2'!$K:$K)+SUMIF('Week3'!$A:$A,$A192,'Week3'!$K:$K)+SUMIF('Week4'!$A:$A,$A192,'Week4'!$K:$K)</f>
        <v/>
      </c>
    </row>
    <row r="193">
      <c r="A193" s="6" t="inlineStr">
        <is>
          <t>MAHEMUDABEN VAHORA</t>
        </is>
      </c>
      <c r="B193" s="6" t="inlineStr">
        <is>
          <t>PROD TABLE</t>
        </is>
      </c>
      <c r="C193" s="7" t="n">
        <v>414</v>
      </c>
      <c r="D193" s="7">
        <f>SUMIF('Week1'!$A:$A,$A193,'Week1'!$D:$D)+SUMIF('Week2'!$A:$A,$A193,'Week2'!$D:$D)+SUMIF('Week3'!$A:$A,$A193,'Week3'!$D:$D)+SUMIF('Week4'!$A:$A,$A193,'Week4'!$D:$D)</f>
        <v/>
      </c>
      <c r="E193" s="7">
        <f>SUMIF('Week1'!$A:$A,$A193,'Week1'!$E:$E)+SUMIF('Week2'!$A:$A,$A193,'Week2'!$E:$E)+SUMIF('Week3'!$A:$A,$A193,'Week3'!$E:$E)+SUMIF('Week4'!$A:$A,$A193,'Week4'!$E:$E)</f>
        <v/>
      </c>
      <c r="F193" s="7">
        <f>SUMIF('Week1'!$A:$A,$A193,'Week1'!$F:$F)+SUMIF('Week2'!$A:$A,$A193,'Week2'!$F:$F)+SUMIF('Week3'!$A:$A,$A193,'Week3'!$F:$F)+SUMIF('Week4'!$A:$A,$A193,'Week4'!$F:$F)</f>
        <v/>
      </c>
      <c r="G193" s="7">
        <f>SUMIF('Week1'!$A:$A,$A193,'Week1'!$G:$G)+SUMIF('Week2'!$A:$A,$A193,'Week2'!$G:$G)+SUMIF('Week3'!$A:$A,$A193,'Week3'!$G:$G)+SUMIF('Week4'!$A:$A,$A193,'Week4'!$G:$G)</f>
        <v/>
      </c>
      <c r="H193" s="7">
        <f>SUMIF('Week1'!$A:$A,$A193,'Week1'!$H:$H)+SUMIF('Week2'!$A:$A,$A193,'Week2'!$H:$H)+SUMIF('Week3'!$A:$A,$A193,'Week3'!$H:$H)+SUMIF('Week4'!$A:$A,$A193,'Week4'!$H:$H)</f>
        <v/>
      </c>
      <c r="I193" s="7">
        <f>SUMIF('Week1'!$A:$A,$A193,'Week1'!$I:$I)+SUMIF('Week2'!$A:$A,$A193,'Week2'!$I:$I)+SUMIF('Week3'!$A:$A,$A193,'Week3'!$I:$I)+SUMIF('Week4'!$A:$A,$A193,'Week4'!$I:$I)</f>
        <v/>
      </c>
      <c r="J193" s="7">
        <f>SUMIF('Week1'!$A:$A,$A193,'Week1'!$J:$J)+SUMIF('Week2'!$A:$A,$A193,'Week2'!$J:$J)+SUMIF('Week3'!$A:$A,$A193,'Week3'!$J:$J)+SUMIF('Week4'!$A:$A,$A193,'Week4'!$J:$J)</f>
        <v/>
      </c>
      <c r="K193" s="7">
        <f>SUMIF('Week1'!$A:$A,$A193,'Week1'!$K:$K)+SUMIF('Week2'!$A:$A,$A193,'Week2'!$K:$K)+SUMIF('Week3'!$A:$A,$A193,'Week3'!$K:$K)+SUMIF('Week4'!$A:$A,$A193,'Week4'!$K:$K)</f>
        <v/>
      </c>
    </row>
    <row r="194">
      <c r="A194" s="6" t="inlineStr">
        <is>
          <t>ABDULNASER ALI  SALLAM</t>
        </is>
      </c>
      <c r="B194" s="6" t="inlineStr">
        <is>
          <t>TECH TECHNICAL</t>
        </is>
      </c>
      <c r="C194" s="7" t="n">
        <v>523</v>
      </c>
      <c r="D194" s="7">
        <f>SUMIF('Week1'!$A:$A,$A194,'Week1'!$D:$D)+SUMIF('Week2'!$A:$A,$A194,'Week2'!$D:$D)+SUMIF('Week3'!$A:$A,$A194,'Week3'!$D:$D)+SUMIF('Week4'!$A:$A,$A194,'Week4'!$D:$D)</f>
        <v/>
      </c>
      <c r="E194" s="7">
        <f>SUMIF('Week1'!$A:$A,$A194,'Week1'!$E:$E)+SUMIF('Week2'!$A:$A,$A194,'Week2'!$E:$E)+SUMIF('Week3'!$A:$A,$A194,'Week3'!$E:$E)+SUMIF('Week4'!$A:$A,$A194,'Week4'!$E:$E)</f>
        <v/>
      </c>
      <c r="F194" s="7">
        <f>SUMIF('Week1'!$A:$A,$A194,'Week1'!$F:$F)+SUMIF('Week2'!$A:$A,$A194,'Week2'!$F:$F)+SUMIF('Week3'!$A:$A,$A194,'Week3'!$F:$F)+SUMIF('Week4'!$A:$A,$A194,'Week4'!$F:$F)</f>
        <v/>
      </c>
      <c r="G194" s="7">
        <f>SUMIF('Week1'!$A:$A,$A194,'Week1'!$G:$G)+SUMIF('Week2'!$A:$A,$A194,'Week2'!$G:$G)+SUMIF('Week3'!$A:$A,$A194,'Week3'!$G:$G)+SUMIF('Week4'!$A:$A,$A194,'Week4'!$G:$G)</f>
        <v/>
      </c>
      <c r="H194" s="7">
        <f>SUMIF('Week1'!$A:$A,$A194,'Week1'!$H:$H)+SUMIF('Week2'!$A:$A,$A194,'Week2'!$H:$H)+SUMIF('Week3'!$A:$A,$A194,'Week3'!$H:$H)+SUMIF('Week4'!$A:$A,$A194,'Week4'!$H:$H)</f>
        <v/>
      </c>
      <c r="I194" s="7">
        <f>SUMIF('Week1'!$A:$A,$A194,'Week1'!$I:$I)+SUMIF('Week2'!$A:$A,$A194,'Week2'!$I:$I)+SUMIF('Week3'!$A:$A,$A194,'Week3'!$I:$I)+SUMIF('Week4'!$A:$A,$A194,'Week4'!$I:$I)</f>
        <v/>
      </c>
      <c r="J194" s="7">
        <f>SUMIF('Week1'!$A:$A,$A194,'Week1'!$J:$J)+SUMIF('Week2'!$A:$A,$A194,'Week2'!$J:$J)+SUMIF('Week3'!$A:$A,$A194,'Week3'!$J:$J)+SUMIF('Week4'!$A:$A,$A194,'Week4'!$J:$J)</f>
        <v/>
      </c>
      <c r="K194" s="7">
        <f>SUMIF('Week1'!$A:$A,$A194,'Week1'!$K:$K)+SUMIF('Week2'!$A:$A,$A194,'Week2'!$K:$K)+SUMIF('Week3'!$A:$A,$A194,'Week3'!$K:$K)+SUMIF('Week4'!$A:$A,$A194,'Week4'!$K:$K)</f>
        <v/>
      </c>
    </row>
    <row r="195">
      <c r="A195" s="6" t="inlineStr">
        <is>
          <t>PARMINDER KAUR</t>
        </is>
      </c>
      <c r="B195" s="6" t="inlineStr">
        <is>
          <t>TECH TECHNICAL</t>
        </is>
      </c>
      <c r="C195" s="7" t="n">
        <v>417</v>
      </c>
      <c r="D195" s="7">
        <f>SUMIF('Week1'!$A:$A,$A195,'Week1'!$D:$D)+SUMIF('Week2'!$A:$A,$A195,'Week2'!$D:$D)+SUMIF('Week3'!$A:$A,$A195,'Week3'!$D:$D)+SUMIF('Week4'!$A:$A,$A195,'Week4'!$D:$D)</f>
        <v/>
      </c>
      <c r="E195" s="7">
        <f>SUMIF('Week1'!$A:$A,$A195,'Week1'!$E:$E)+SUMIF('Week2'!$A:$A,$A195,'Week2'!$E:$E)+SUMIF('Week3'!$A:$A,$A195,'Week3'!$E:$E)+SUMIF('Week4'!$A:$A,$A195,'Week4'!$E:$E)</f>
        <v/>
      </c>
      <c r="F195" s="7">
        <f>SUMIF('Week1'!$A:$A,$A195,'Week1'!$F:$F)+SUMIF('Week2'!$A:$A,$A195,'Week2'!$F:$F)+SUMIF('Week3'!$A:$A,$A195,'Week3'!$F:$F)+SUMIF('Week4'!$A:$A,$A195,'Week4'!$F:$F)</f>
        <v/>
      </c>
      <c r="G195" s="7">
        <f>SUMIF('Week1'!$A:$A,$A195,'Week1'!$G:$G)+SUMIF('Week2'!$A:$A,$A195,'Week2'!$G:$G)+SUMIF('Week3'!$A:$A,$A195,'Week3'!$G:$G)+SUMIF('Week4'!$A:$A,$A195,'Week4'!$G:$G)</f>
        <v/>
      </c>
      <c r="H195" s="7">
        <f>SUMIF('Week1'!$A:$A,$A195,'Week1'!$H:$H)+SUMIF('Week2'!$A:$A,$A195,'Week2'!$H:$H)+SUMIF('Week3'!$A:$A,$A195,'Week3'!$H:$H)+SUMIF('Week4'!$A:$A,$A195,'Week4'!$H:$H)</f>
        <v/>
      </c>
      <c r="I195" s="7">
        <f>SUMIF('Week1'!$A:$A,$A195,'Week1'!$I:$I)+SUMIF('Week2'!$A:$A,$A195,'Week2'!$I:$I)+SUMIF('Week3'!$A:$A,$A195,'Week3'!$I:$I)+SUMIF('Week4'!$A:$A,$A195,'Week4'!$I:$I)</f>
        <v/>
      </c>
      <c r="J195" s="7">
        <f>SUMIF('Week1'!$A:$A,$A195,'Week1'!$J:$J)+SUMIF('Week2'!$A:$A,$A195,'Week2'!$J:$J)+SUMIF('Week3'!$A:$A,$A195,'Week3'!$J:$J)+SUMIF('Week4'!$A:$A,$A195,'Week4'!$J:$J)</f>
        <v/>
      </c>
      <c r="K195" s="7">
        <f>SUMIF('Week1'!$A:$A,$A195,'Week1'!$K:$K)+SUMIF('Week2'!$A:$A,$A195,'Week2'!$K:$K)+SUMIF('Week3'!$A:$A,$A195,'Week3'!$K:$K)+SUMIF('Week4'!$A:$A,$A195,'Week4'!$K:$K)</f>
        <v/>
      </c>
    </row>
    <row r="196">
      <c r="A196" s="6" t="inlineStr">
        <is>
          <t>JHALAK PATEL</t>
        </is>
      </c>
      <c r="B196" s="6" t="inlineStr">
        <is>
          <t>TECH TECHNICAL</t>
        </is>
      </c>
      <c r="C196" s="7" t="n">
        <v>678</v>
      </c>
      <c r="D196" s="7">
        <f>SUMIF('Week1'!$A:$A,$A196,'Week1'!$D:$D)+SUMIF('Week2'!$A:$A,$A196,'Week2'!$D:$D)+SUMIF('Week3'!$A:$A,$A196,'Week3'!$D:$D)+SUMIF('Week4'!$A:$A,$A196,'Week4'!$D:$D)</f>
        <v/>
      </c>
      <c r="E196" s="7">
        <f>SUMIF('Week1'!$A:$A,$A196,'Week1'!$E:$E)+SUMIF('Week2'!$A:$A,$A196,'Week2'!$E:$E)+SUMIF('Week3'!$A:$A,$A196,'Week3'!$E:$E)+SUMIF('Week4'!$A:$A,$A196,'Week4'!$E:$E)</f>
        <v/>
      </c>
      <c r="F196" s="7">
        <f>SUMIF('Week1'!$A:$A,$A196,'Week1'!$F:$F)+SUMIF('Week2'!$A:$A,$A196,'Week2'!$F:$F)+SUMIF('Week3'!$A:$A,$A196,'Week3'!$F:$F)+SUMIF('Week4'!$A:$A,$A196,'Week4'!$F:$F)</f>
        <v/>
      </c>
      <c r="G196" s="7">
        <f>SUMIF('Week1'!$A:$A,$A196,'Week1'!$G:$G)+SUMIF('Week2'!$A:$A,$A196,'Week2'!$G:$G)+SUMIF('Week3'!$A:$A,$A196,'Week3'!$G:$G)+SUMIF('Week4'!$A:$A,$A196,'Week4'!$G:$G)</f>
        <v/>
      </c>
      <c r="H196" s="7">
        <f>SUMIF('Week1'!$A:$A,$A196,'Week1'!$H:$H)+SUMIF('Week2'!$A:$A,$A196,'Week2'!$H:$H)+SUMIF('Week3'!$A:$A,$A196,'Week3'!$H:$H)+SUMIF('Week4'!$A:$A,$A196,'Week4'!$H:$H)</f>
        <v/>
      </c>
      <c r="I196" s="7">
        <f>SUMIF('Week1'!$A:$A,$A196,'Week1'!$I:$I)+SUMIF('Week2'!$A:$A,$A196,'Week2'!$I:$I)+SUMIF('Week3'!$A:$A,$A196,'Week3'!$I:$I)+SUMIF('Week4'!$A:$A,$A196,'Week4'!$I:$I)</f>
        <v/>
      </c>
      <c r="J196" s="7">
        <f>SUMIF('Week1'!$A:$A,$A196,'Week1'!$J:$J)+SUMIF('Week2'!$A:$A,$A196,'Week2'!$J:$J)+SUMIF('Week3'!$A:$A,$A196,'Week3'!$J:$J)+SUMIF('Week4'!$A:$A,$A196,'Week4'!$J:$J)</f>
        <v/>
      </c>
      <c r="K196" s="7">
        <f>SUMIF('Week1'!$A:$A,$A196,'Week1'!$K:$K)+SUMIF('Week2'!$A:$A,$A196,'Week2'!$K:$K)+SUMIF('Week3'!$A:$A,$A196,'Week3'!$K:$K)+SUMIF('Week4'!$A:$A,$A196,'Week4'!$K:$K)</f>
        <v/>
      </c>
    </row>
    <row r="197">
      <c r="A197" s="6" t="inlineStr">
        <is>
          <t>HIMANI R DOMADIYA</t>
        </is>
      </c>
      <c r="B197" s="6" t="inlineStr">
        <is>
          <t>TECH TECHNICAL</t>
        </is>
      </c>
      <c r="C197" s="7" t="n">
        <v>682</v>
      </c>
      <c r="D197" s="7">
        <f>SUMIF('Week1'!$A:$A,$A197,'Week1'!$D:$D)+SUMIF('Week2'!$A:$A,$A197,'Week2'!$D:$D)+SUMIF('Week3'!$A:$A,$A197,'Week3'!$D:$D)+SUMIF('Week4'!$A:$A,$A197,'Week4'!$D:$D)</f>
        <v/>
      </c>
      <c r="E197" s="7">
        <f>SUMIF('Week1'!$A:$A,$A197,'Week1'!$E:$E)+SUMIF('Week2'!$A:$A,$A197,'Week2'!$E:$E)+SUMIF('Week3'!$A:$A,$A197,'Week3'!$E:$E)+SUMIF('Week4'!$A:$A,$A197,'Week4'!$E:$E)</f>
        <v/>
      </c>
      <c r="F197" s="7">
        <f>SUMIF('Week1'!$A:$A,$A197,'Week1'!$F:$F)+SUMIF('Week2'!$A:$A,$A197,'Week2'!$F:$F)+SUMIF('Week3'!$A:$A,$A197,'Week3'!$F:$F)+SUMIF('Week4'!$A:$A,$A197,'Week4'!$F:$F)</f>
        <v/>
      </c>
      <c r="G197" s="7">
        <f>SUMIF('Week1'!$A:$A,$A197,'Week1'!$G:$G)+SUMIF('Week2'!$A:$A,$A197,'Week2'!$G:$G)+SUMIF('Week3'!$A:$A,$A197,'Week3'!$G:$G)+SUMIF('Week4'!$A:$A,$A197,'Week4'!$G:$G)</f>
        <v/>
      </c>
      <c r="H197" s="7">
        <f>SUMIF('Week1'!$A:$A,$A197,'Week1'!$H:$H)+SUMIF('Week2'!$A:$A,$A197,'Week2'!$H:$H)+SUMIF('Week3'!$A:$A,$A197,'Week3'!$H:$H)+SUMIF('Week4'!$A:$A,$A197,'Week4'!$H:$H)</f>
        <v/>
      </c>
      <c r="I197" s="7">
        <f>SUMIF('Week1'!$A:$A,$A197,'Week1'!$I:$I)+SUMIF('Week2'!$A:$A,$A197,'Week2'!$I:$I)+SUMIF('Week3'!$A:$A,$A197,'Week3'!$I:$I)+SUMIF('Week4'!$A:$A,$A197,'Week4'!$I:$I)</f>
        <v/>
      </c>
      <c r="J197" s="7">
        <f>SUMIF('Week1'!$A:$A,$A197,'Week1'!$J:$J)+SUMIF('Week2'!$A:$A,$A197,'Week2'!$J:$J)+SUMIF('Week3'!$A:$A,$A197,'Week3'!$J:$J)+SUMIF('Week4'!$A:$A,$A197,'Week4'!$J:$J)</f>
        <v/>
      </c>
      <c r="K197" s="7">
        <f>SUMIF('Week1'!$A:$A,$A197,'Week1'!$K:$K)+SUMIF('Week2'!$A:$A,$A197,'Week2'!$K:$K)+SUMIF('Week3'!$A:$A,$A197,'Week3'!$K:$K)+SUMIF('Week4'!$A:$A,$A197,'Week4'!$K:$K)</f>
        <v/>
      </c>
    </row>
    <row r="198">
      <c r="A198" s="6" t="inlineStr">
        <is>
          <t>AMIT AMIT</t>
        </is>
      </c>
      <c r="B198" s="6" t="inlineStr">
        <is>
          <t>WRHS</t>
        </is>
      </c>
      <c r="C198" s="7" t="n">
        <v>674</v>
      </c>
      <c r="D198" s="7">
        <f>SUMIF('Week1'!$A:$A,$A198,'Week1'!$D:$D)+SUMIF('Week2'!$A:$A,$A198,'Week2'!$D:$D)+SUMIF('Week3'!$A:$A,$A198,'Week3'!$D:$D)+SUMIF('Week4'!$A:$A,$A198,'Week4'!$D:$D)</f>
        <v/>
      </c>
      <c r="E198" s="7">
        <f>SUMIF('Week1'!$A:$A,$A198,'Week1'!$E:$E)+SUMIF('Week2'!$A:$A,$A198,'Week2'!$E:$E)+SUMIF('Week3'!$A:$A,$A198,'Week3'!$E:$E)+SUMIF('Week4'!$A:$A,$A198,'Week4'!$E:$E)</f>
        <v/>
      </c>
      <c r="F198" s="7">
        <f>SUMIF('Week1'!$A:$A,$A198,'Week1'!$F:$F)+SUMIF('Week2'!$A:$A,$A198,'Week2'!$F:$F)+SUMIF('Week3'!$A:$A,$A198,'Week3'!$F:$F)+SUMIF('Week4'!$A:$A,$A198,'Week4'!$F:$F)</f>
        <v/>
      </c>
      <c r="G198" s="7">
        <f>SUMIF('Week1'!$A:$A,$A198,'Week1'!$G:$G)+SUMIF('Week2'!$A:$A,$A198,'Week2'!$G:$G)+SUMIF('Week3'!$A:$A,$A198,'Week3'!$G:$G)+SUMIF('Week4'!$A:$A,$A198,'Week4'!$G:$G)</f>
        <v/>
      </c>
      <c r="H198" s="7">
        <f>SUMIF('Week1'!$A:$A,$A198,'Week1'!$H:$H)+SUMIF('Week2'!$A:$A,$A198,'Week2'!$H:$H)+SUMIF('Week3'!$A:$A,$A198,'Week3'!$H:$H)+SUMIF('Week4'!$A:$A,$A198,'Week4'!$H:$H)</f>
        <v/>
      </c>
      <c r="I198" s="7">
        <f>SUMIF('Week1'!$A:$A,$A198,'Week1'!$I:$I)+SUMIF('Week2'!$A:$A,$A198,'Week2'!$I:$I)+SUMIF('Week3'!$A:$A,$A198,'Week3'!$I:$I)+SUMIF('Week4'!$A:$A,$A198,'Week4'!$I:$I)</f>
        <v/>
      </c>
      <c r="J198" s="7">
        <f>SUMIF('Week1'!$A:$A,$A198,'Week1'!$J:$J)+SUMIF('Week2'!$A:$A,$A198,'Week2'!$J:$J)+SUMIF('Week3'!$A:$A,$A198,'Week3'!$J:$J)+SUMIF('Week4'!$A:$A,$A198,'Week4'!$J:$J)</f>
        <v/>
      </c>
      <c r="K198" s="7">
        <f>SUMIF('Week1'!$A:$A,$A198,'Week1'!$K:$K)+SUMIF('Week2'!$A:$A,$A198,'Week2'!$K:$K)+SUMIF('Week3'!$A:$A,$A198,'Week3'!$K:$K)+SUMIF('Week4'!$A:$A,$A198,'Week4'!$K:$K)</f>
        <v/>
      </c>
    </row>
    <row r="199">
      <c r="A199" s="6" t="inlineStr">
        <is>
          <t>WOJCIECH GRZEGORZ KOPACZ</t>
        </is>
      </c>
      <c r="B199" s="6" t="inlineStr">
        <is>
          <t>WRHS</t>
        </is>
      </c>
      <c r="C199" s="7" t="n">
        <v>592</v>
      </c>
      <c r="D199" s="7">
        <f>SUMIF('Week1'!$A:$A,$A199,'Week1'!$D:$D)+SUMIF('Week2'!$A:$A,$A199,'Week2'!$D:$D)+SUMIF('Week3'!$A:$A,$A199,'Week3'!$D:$D)+SUMIF('Week4'!$A:$A,$A199,'Week4'!$D:$D)</f>
        <v/>
      </c>
      <c r="E199" s="7">
        <f>SUMIF('Week1'!$A:$A,$A199,'Week1'!$E:$E)+SUMIF('Week2'!$A:$A,$A199,'Week2'!$E:$E)+SUMIF('Week3'!$A:$A,$A199,'Week3'!$E:$E)+SUMIF('Week4'!$A:$A,$A199,'Week4'!$E:$E)</f>
        <v/>
      </c>
      <c r="F199" s="7">
        <f>SUMIF('Week1'!$A:$A,$A199,'Week1'!$F:$F)+SUMIF('Week2'!$A:$A,$A199,'Week2'!$F:$F)+SUMIF('Week3'!$A:$A,$A199,'Week3'!$F:$F)+SUMIF('Week4'!$A:$A,$A199,'Week4'!$F:$F)</f>
        <v/>
      </c>
      <c r="G199" s="7">
        <f>SUMIF('Week1'!$A:$A,$A199,'Week1'!$G:$G)+SUMIF('Week2'!$A:$A,$A199,'Week2'!$G:$G)+SUMIF('Week3'!$A:$A,$A199,'Week3'!$G:$G)+SUMIF('Week4'!$A:$A,$A199,'Week4'!$G:$G)</f>
        <v/>
      </c>
      <c r="H199" s="7">
        <f>SUMIF('Week1'!$A:$A,$A199,'Week1'!$H:$H)+SUMIF('Week2'!$A:$A,$A199,'Week2'!$H:$H)+SUMIF('Week3'!$A:$A,$A199,'Week3'!$H:$H)+SUMIF('Week4'!$A:$A,$A199,'Week4'!$H:$H)</f>
        <v/>
      </c>
      <c r="I199" s="7">
        <f>SUMIF('Week1'!$A:$A,$A199,'Week1'!$I:$I)+SUMIF('Week2'!$A:$A,$A199,'Week2'!$I:$I)+SUMIF('Week3'!$A:$A,$A199,'Week3'!$I:$I)+SUMIF('Week4'!$A:$A,$A199,'Week4'!$I:$I)</f>
        <v/>
      </c>
      <c r="J199" s="7">
        <f>SUMIF('Week1'!$A:$A,$A199,'Week1'!$J:$J)+SUMIF('Week2'!$A:$A,$A199,'Week2'!$J:$J)+SUMIF('Week3'!$A:$A,$A199,'Week3'!$J:$J)+SUMIF('Week4'!$A:$A,$A199,'Week4'!$J:$J)</f>
        <v/>
      </c>
      <c r="K199" s="7">
        <f>SUMIF('Week1'!$A:$A,$A199,'Week1'!$K:$K)+SUMIF('Week2'!$A:$A,$A199,'Week2'!$K:$K)+SUMIF('Week3'!$A:$A,$A199,'Week3'!$K:$K)+SUMIF('Week4'!$A:$A,$A199,'Week4'!$K:$K)</f>
        <v/>
      </c>
    </row>
    <row r="200">
      <c r="A200" s="6" t="inlineStr">
        <is>
          <t>ASHISH SAHOTA</t>
        </is>
      </c>
      <c r="B200" s="6" t="inlineStr">
        <is>
          <t>WRHS</t>
        </is>
      </c>
      <c r="C200" s="7" t="n">
        <v>680</v>
      </c>
      <c r="D200" s="7">
        <f>SUMIF('Week1'!$A:$A,$A200,'Week1'!$D:$D)+SUMIF('Week2'!$A:$A,$A200,'Week2'!$D:$D)+SUMIF('Week3'!$A:$A,$A200,'Week3'!$D:$D)+SUMIF('Week4'!$A:$A,$A200,'Week4'!$D:$D)</f>
        <v/>
      </c>
      <c r="E200" s="7">
        <f>SUMIF('Week1'!$A:$A,$A200,'Week1'!$E:$E)+SUMIF('Week2'!$A:$A,$A200,'Week2'!$E:$E)+SUMIF('Week3'!$A:$A,$A200,'Week3'!$E:$E)+SUMIF('Week4'!$A:$A,$A200,'Week4'!$E:$E)</f>
        <v/>
      </c>
      <c r="F200" s="7">
        <f>SUMIF('Week1'!$A:$A,$A200,'Week1'!$F:$F)+SUMIF('Week2'!$A:$A,$A200,'Week2'!$F:$F)+SUMIF('Week3'!$A:$A,$A200,'Week3'!$F:$F)+SUMIF('Week4'!$A:$A,$A200,'Week4'!$F:$F)</f>
        <v/>
      </c>
      <c r="G200" s="7">
        <f>SUMIF('Week1'!$A:$A,$A200,'Week1'!$G:$G)+SUMIF('Week2'!$A:$A,$A200,'Week2'!$G:$G)+SUMIF('Week3'!$A:$A,$A200,'Week3'!$G:$G)+SUMIF('Week4'!$A:$A,$A200,'Week4'!$G:$G)</f>
        <v/>
      </c>
      <c r="H200" s="7">
        <f>SUMIF('Week1'!$A:$A,$A200,'Week1'!$H:$H)+SUMIF('Week2'!$A:$A,$A200,'Week2'!$H:$H)+SUMIF('Week3'!$A:$A,$A200,'Week3'!$H:$H)+SUMIF('Week4'!$A:$A,$A200,'Week4'!$H:$H)</f>
        <v/>
      </c>
      <c r="I200" s="7">
        <f>SUMIF('Week1'!$A:$A,$A200,'Week1'!$I:$I)+SUMIF('Week2'!$A:$A,$A200,'Week2'!$I:$I)+SUMIF('Week3'!$A:$A,$A200,'Week3'!$I:$I)+SUMIF('Week4'!$A:$A,$A200,'Week4'!$I:$I)</f>
        <v/>
      </c>
      <c r="J200" s="7">
        <f>SUMIF('Week1'!$A:$A,$A200,'Week1'!$J:$J)+SUMIF('Week2'!$A:$A,$A200,'Week2'!$J:$J)+SUMIF('Week3'!$A:$A,$A200,'Week3'!$J:$J)+SUMIF('Week4'!$A:$A,$A200,'Week4'!$J:$J)</f>
        <v/>
      </c>
      <c r="K200" s="7">
        <f>SUMIF('Week1'!$A:$A,$A200,'Week1'!$K:$K)+SUMIF('Week2'!$A:$A,$A200,'Week2'!$K:$K)+SUMIF('Week3'!$A:$A,$A200,'Week3'!$K:$K)+SUMIF('Week4'!$A:$A,$A200,'Week4'!$K:$K)</f>
        <v/>
      </c>
    </row>
    <row r="201">
      <c r="A201" s="6" t="inlineStr">
        <is>
          <t>SURENDRAN SUBRAMANI</t>
        </is>
      </c>
      <c r="B201" s="6" t="inlineStr">
        <is>
          <t>WRHS</t>
        </is>
      </c>
      <c r="C201" s="7" t="n">
        <v>205</v>
      </c>
      <c r="D201" s="7">
        <f>SUMIF('Week1'!$A:$A,$A201,'Week1'!$D:$D)+SUMIF('Week2'!$A:$A,$A201,'Week2'!$D:$D)+SUMIF('Week3'!$A:$A,$A201,'Week3'!$D:$D)+SUMIF('Week4'!$A:$A,$A201,'Week4'!$D:$D)</f>
        <v/>
      </c>
      <c r="E201" s="7">
        <f>SUMIF('Week1'!$A:$A,$A201,'Week1'!$E:$E)+SUMIF('Week2'!$A:$A,$A201,'Week2'!$E:$E)+SUMIF('Week3'!$A:$A,$A201,'Week3'!$E:$E)+SUMIF('Week4'!$A:$A,$A201,'Week4'!$E:$E)</f>
        <v/>
      </c>
      <c r="F201" s="7">
        <f>SUMIF('Week1'!$A:$A,$A201,'Week1'!$F:$F)+SUMIF('Week2'!$A:$A,$A201,'Week2'!$F:$F)+SUMIF('Week3'!$A:$A,$A201,'Week3'!$F:$F)+SUMIF('Week4'!$A:$A,$A201,'Week4'!$F:$F)</f>
        <v/>
      </c>
      <c r="G201" s="7">
        <f>SUMIF('Week1'!$A:$A,$A201,'Week1'!$G:$G)+SUMIF('Week2'!$A:$A,$A201,'Week2'!$G:$G)+SUMIF('Week3'!$A:$A,$A201,'Week3'!$G:$G)+SUMIF('Week4'!$A:$A,$A201,'Week4'!$G:$G)</f>
        <v/>
      </c>
      <c r="H201" s="7">
        <f>SUMIF('Week1'!$A:$A,$A201,'Week1'!$H:$H)+SUMIF('Week2'!$A:$A,$A201,'Week2'!$H:$H)+SUMIF('Week3'!$A:$A,$A201,'Week3'!$H:$H)+SUMIF('Week4'!$A:$A,$A201,'Week4'!$H:$H)</f>
        <v/>
      </c>
      <c r="I201" s="7">
        <f>SUMIF('Week1'!$A:$A,$A201,'Week1'!$I:$I)+SUMIF('Week2'!$A:$A,$A201,'Week2'!$I:$I)+SUMIF('Week3'!$A:$A,$A201,'Week3'!$I:$I)+SUMIF('Week4'!$A:$A,$A201,'Week4'!$I:$I)</f>
        <v/>
      </c>
      <c r="J201" s="7">
        <f>SUMIF('Week1'!$A:$A,$A201,'Week1'!$J:$J)+SUMIF('Week2'!$A:$A,$A201,'Week2'!$J:$J)+SUMIF('Week3'!$A:$A,$A201,'Week3'!$J:$J)+SUMIF('Week4'!$A:$A,$A201,'Week4'!$J:$J)</f>
        <v/>
      </c>
      <c r="K201" s="7">
        <f>SUMIF('Week1'!$A:$A,$A201,'Week1'!$K:$K)+SUMIF('Week2'!$A:$A,$A201,'Week2'!$K:$K)+SUMIF('Week3'!$A:$A,$A201,'Week3'!$K:$K)+SUMIF('Week4'!$A:$A,$A201,'Week4'!$K:$K)</f>
        <v/>
      </c>
    </row>
    <row r="202">
      <c r="A202" s="6" t="inlineStr">
        <is>
          <t>KANJI BAGOANE EOLL</t>
        </is>
      </c>
      <c r="B202" s="6" t="inlineStr">
        <is>
          <t>A-EL CLNR</t>
        </is>
      </c>
      <c r="C202" s="7" t="n">
        <v>1683</v>
      </c>
      <c r="D202" s="7">
        <f>SUMIF('Week1'!$A:$A,$A202,'Week1'!$D:$D)+SUMIF('Week2'!$A:$A,$A202,'Week2'!$D:$D)+SUMIF('Week3'!$A:$A,$A202,'Week3'!$D:$D)+SUMIF('Week4'!$A:$A,$A202,'Week4'!$D:$D)</f>
        <v/>
      </c>
      <c r="E202" s="7">
        <f>SUMIF('Week1'!$A:$A,$A202,'Week1'!$E:$E)+SUMIF('Week2'!$A:$A,$A202,'Week2'!$E:$E)+SUMIF('Week3'!$A:$A,$A202,'Week3'!$E:$E)+SUMIF('Week4'!$A:$A,$A202,'Week4'!$E:$E)</f>
        <v/>
      </c>
      <c r="F202" s="7">
        <f>SUMIF('Week1'!$A:$A,$A202,'Week1'!$F:$F)+SUMIF('Week2'!$A:$A,$A202,'Week2'!$F:$F)+SUMIF('Week3'!$A:$A,$A202,'Week3'!$F:$F)+SUMIF('Week4'!$A:$A,$A202,'Week4'!$F:$F)</f>
        <v/>
      </c>
      <c r="G202" s="7">
        <f>SUMIF('Week1'!$A:$A,$A202,'Week1'!$G:$G)+SUMIF('Week2'!$A:$A,$A202,'Week2'!$G:$G)+SUMIF('Week3'!$A:$A,$A202,'Week3'!$G:$G)+SUMIF('Week4'!$A:$A,$A202,'Week4'!$G:$G)</f>
        <v/>
      </c>
      <c r="H202" s="7">
        <f>SUMIF('Week1'!$A:$A,$A202,'Week1'!$H:$H)+SUMIF('Week2'!$A:$A,$A202,'Week2'!$H:$H)+SUMIF('Week3'!$A:$A,$A202,'Week3'!$H:$H)+SUMIF('Week4'!$A:$A,$A202,'Week4'!$H:$H)</f>
        <v/>
      </c>
      <c r="I202" s="7">
        <f>SUMIF('Week1'!$A:$A,$A202,'Week1'!$I:$I)+SUMIF('Week2'!$A:$A,$A202,'Week2'!$I:$I)+SUMIF('Week3'!$A:$A,$A202,'Week3'!$I:$I)+SUMIF('Week4'!$A:$A,$A202,'Week4'!$I:$I)</f>
        <v/>
      </c>
      <c r="J202" s="7">
        <f>SUMIF('Week1'!$A:$A,$A202,'Week1'!$J:$J)+SUMIF('Week2'!$A:$A,$A202,'Week2'!$J:$J)+SUMIF('Week3'!$A:$A,$A202,'Week3'!$J:$J)+SUMIF('Week4'!$A:$A,$A202,'Week4'!$J:$J)</f>
        <v/>
      </c>
      <c r="K202" s="7">
        <f>SUMIF('Week1'!$A:$A,$A202,'Week1'!$K:$K)+SUMIF('Week2'!$A:$A,$A202,'Week2'!$K:$K)+SUMIF('Week3'!$A:$A,$A202,'Week3'!$K:$K)+SUMIF('Week4'!$A:$A,$A202,'Week4'!$K:$K)</f>
        <v/>
      </c>
    </row>
    <row r="203">
      <c r="A203" s="6" t="inlineStr">
        <is>
          <t>VELJI BAGUANE EOLL</t>
        </is>
      </c>
      <c r="B203" s="6" t="inlineStr">
        <is>
          <t>A-EL CLNR</t>
        </is>
      </c>
      <c r="C203" s="7" t="n">
        <v>1681</v>
      </c>
      <c r="D203" s="7">
        <f>SUMIF('Week1'!$A:$A,$A203,'Week1'!$D:$D)+SUMIF('Week2'!$A:$A,$A203,'Week2'!$D:$D)+SUMIF('Week3'!$A:$A,$A203,'Week3'!$D:$D)+SUMIF('Week4'!$A:$A,$A203,'Week4'!$D:$D)</f>
        <v/>
      </c>
      <c r="E203" s="7">
        <f>SUMIF('Week1'!$A:$A,$A203,'Week1'!$E:$E)+SUMIF('Week2'!$A:$A,$A203,'Week2'!$E:$E)+SUMIF('Week3'!$A:$A,$A203,'Week3'!$E:$E)+SUMIF('Week4'!$A:$A,$A203,'Week4'!$E:$E)</f>
        <v/>
      </c>
      <c r="F203" s="7">
        <f>SUMIF('Week1'!$A:$A,$A203,'Week1'!$F:$F)+SUMIF('Week2'!$A:$A,$A203,'Week2'!$F:$F)+SUMIF('Week3'!$A:$A,$A203,'Week3'!$F:$F)+SUMIF('Week4'!$A:$A,$A203,'Week4'!$F:$F)</f>
        <v/>
      </c>
      <c r="G203" s="7">
        <f>SUMIF('Week1'!$A:$A,$A203,'Week1'!$G:$G)+SUMIF('Week2'!$A:$A,$A203,'Week2'!$G:$G)+SUMIF('Week3'!$A:$A,$A203,'Week3'!$G:$G)+SUMIF('Week4'!$A:$A,$A203,'Week4'!$G:$G)</f>
        <v/>
      </c>
      <c r="H203" s="7">
        <f>SUMIF('Week1'!$A:$A,$A203,'Week1'!$H:$H)+SUMIF('Week2'!$A:$A,$A203,'Week2'!$H:$H)+SUMIF('Week3'!$A:$A,$A203,'Week3'!$H:$H)+SUMIF('Week4'!$A:$A,$A203,'Week4'!$H:$H)</f>
        <v/>
      </c>
      <c r="I203" s="7">
        <f>SUMIF('Week1'!$A:$A,$A203,'Week1'!$I:$I)+SUMIF('Week2'!$A:$A,$A203,'Week2'!$I:$I)+SUMIF('Week3'!$A:$A,$A203,'Week3'!$I:$I)+SUMIF('Week4'!$A:$A,$A203,'Week4'!$I:$I)</f>
        <v/>
      </c>
      <c r="J203" s="7">
        <f>SUMIF('Week1'!$A:$A,$A203,'Week1'!$J:$J)+SUMIF('Week2'!$A:$A,$A203,'Week2'!$J:$J)+SUMIF('Week3'!$A:$A,$A203,'Week3'!$J:$J)+SUMIF('Week4'!$A:$A,$A203,'Week4'!$J:$J)</f>
        <v/>
      </c>
      <c r="K203" s="7">
        <f>SUMIF('Week1'!$A:$A,$A203,'Week1'!$K:$K)+SUMIF('Week2'!$A:$A,$A203,'Week2'!$K:$K)+SUMIF('Week3'!$A:$A,$A203,'Week3'!$K:$K)+SUMIF('Week4'!$A:$A,$A203,'Week4'!$K:$K)</f>
        <v/>
      </c>
    </row>
    <row r="204">
      <c r="A204" s="6" t="inlineStr">
        <is>
          <t>KIRANKUMAR CHAUDHARY EOLL</t>
        </is>
      </c>
      <c r="B204" s="6" t="inlineStr">
        <is>
          <t>A-EL CLNR</t>
        </is>
      </c>
      <c r="C204" s="7" t="n">
        <v>1685</v>
      </c>
      <c r="D204" s="7">
        <f>SUMIF('Week1'!$A:$A,$A204,'Week1'!$D:$D)+SUMIF('Week2'!$A:$A,$A204,'Week2'!$D:$D)+SUMIF('Week3'!$A:$A,$A204,'Week3'!$D:$D)+SUMIF('Week4'!$A:$A,$A204,'Week4'!$D:$D)</f>
        <v/>
      </c>
      <c r="E204" s="7">
        <f>SUMIF('Week1'!$A:$A,$A204,'Week1'!$E:$E)+SUMIF('Week2'!$A:$A,$A204,'Week2'!$E:$E)+SUMIF('Week3'!$A:$A,$A204,'Week3'!$E:$E)+SUMIF('Week4'!$A:$A,$A204,'Week4'!$E:$E)</f>
        <v/>
      </c>
      <c r="F204" s="7">
        <f>SUMIF('Week1'!$A:$A,$A204,'Week1'!$F:$F)+SUMIF('Week2'!$A:$A,$A204,'Week2'!$F:$F)+SUMIF('Week3'!$A:$A,$A204,'Week3'!$F:$F)+SUMIF('Week4'!$A:$A,$A204,'Week4'!$F:$F)</f>
        <v/>
      </c>
      <c r="G204" s="7">
        <f>SUMIF('Week1'!$A:$A,$A204,'Week1'!$G:$G)+SUMIF('Week2'!$A:$A,$A204,'Week2'!$G:$G)+SUMIF('Week3'!$A:$A,$A204,'Week3'!$G:$G)+SUMIF('Week4'!$A:$A,$A204,'Week4'!$G:$G)</f>
        <v/>
      </c>
      <c r="H204" s="7">
        <f>SUMIF('Week1'!$A:$A,$A204,'Week1'!$H:$H)+SUMIF('Week2'!$A:$A,$A204,'Week2'!$H:$H)+SUMIF('Week3'!$A:$A,$A204,'Week3'!$H:$H)+SUMIF('Week4'!$A:$A,$A204,'Week4'!$H:$H)</f>
        <v/>
      </c>
      <c r="I204" s="7">
        <f>SUMIF('Week1'!$A:$A,$A204,'Week1'!$I:$I)+SUMIF('Week2'!$A:$A,$A204,'Week2'!$I:$I)+SUMIF('Week3'!$A:$A,$A204,'Week3'!$I:$I)+SUMIF('Week4'!$A:$A,$A204,'Week4'!$I:$I)</f>
        <v/>
      </c>
      <c r="J204" s="7">
        <f>SUMIF('Week1'!$A:$A,$A204,'Week1'!$J:$J)+SUMIF('Week2'!$A:$A,$A204,'Week2'!$J:$J)+SUMIF('Week3'!$A:$A,$A204,'Week3'!$J:$J)+SUMIF('Week4'!$A:$A,$A204,'Week4'!$J:$J)</f>
        <v/>
      </c>
      <c r="K204" s="7">
        <f>SUMIF('Week1'!$A:$A,$A204,'Week1'!$K:$K)+SUMIF('Week2'!$A:$A,$A204,'Week2'!$K:$K)+SUMIF('Week3'!$A:$A,$A204,'Week3'!$K:$K)+SUMIF('Week4'!$A:$A,$A204,'Week4'!$K:$K)</f>
        <v/>
      </c>
    </row>
    <row r="205">
      <c r="A205" s="6" t="inlineStr">
        <is>
          <t>HALPATI DHIRAJ RAMAN EOLL</t>
        </is>
      </c>
      <c r="B205" s="6" t="inlineStr">
        <is>
          <t>A-EL CLNR</t>
        </is>
      </c>
      <c r="C205" s="7" t="n">
        <v>1670</v>
      </c>
      <c r="D205" s="7">
        <f>SUMIF('Week1'!$A:$A,$A205,'Week1'!$D:$D)+SUMIF('Week2'!$A:$A,$A205,'Week2'!$D:$D)+SUMIF('Week3'!$A:$A,$A205,'Week3'!$D:$D)+SUMIF('Week4'!$A:$A,$A205,'Week4'!$D:$D)</f>
        <v/>
      </c>
      <c r="E205" s="7">
        <f>SUMIF('Week1'!$A:$A,$A205,'Week1'!$E:$E)+SUMIF('Week2'!$A:$A,$A205,'Week2'!$E:$E)+SUMIF('Week3'!$A:$A,$A205,'Week3'!$E:$E)+SUMIF('Week4'!$A:$A,$A205,'Week4'!$E:$E)</f>
        <v/>
      </c>
      <c r="F205" s="7">
        <f>SUMIF('Week1'!$A:$A,$A205,'Week1'!$F:$F)+SUMIF('Week2'!$A:$A,$A205,'Week2'!$F:$F)+SUMIF('Week3'!$A:$A,$A205,'Week3'!$F:$F)+SUMIF('Week4'!$A:$A,$A205,'Week4'!$F:$F)</f>
        <v/>
      </c>
      <c r="G205" s="7">
        <f>SUMIF('Week1'!$A:$A,$A205,'Week1'!$G:$G)+SUMIF('Week2'!$A:$A,$A205,'Week2'!$G:$G)+SUMIF('Week3'!$A:$A,$A205,'Week3'!$G:$G)+SUMIF('Week4'!$A:$A,$A205,'Week4'!$G:$G)</f>
        <v/>
      </c>
      <c r="H205" s="7">
        <f>SUMIF('Week1'!$A:$A,$A205,'Week1'!$H:$H)+SUMIF('Week2'!$A:$A,$A205,'Week2'!$H:$H)+SUMIF('Week3'!$A:$A,$A205,'Week3'!$H:$H)+SUMIF('Week4'!$A:$A,$A205,'Week4'!$H:$H)</f>
        <v/>
      </c>
      <c r="I205" s="7">
        <f>SUMIF('Week1'!$A:$A,$A205,'Week1'!$I:$I)+SUMIF('Week2'!$A:$A,$A205,'Week2'!$I:$I)+SUMIF('Week3'!$A:$A,$A205,'Week3'!$I:$I)+SUMIF('Week4'!$A:$A,$A205,'Week4'!$I:$I)</f>
        <v/>
      </c>
      <c r="J205" s="7">
        <f>SUMIF('Week1'!$A:$A,$A205,'Week1'!$J:$J)+SUMIF('Week2'!$A:$A,$A205,'Week2'!$J:$J)+SUMIF('Week3'!$A:$A,$A205,'Week3'!$J:$J)+SUMIF('Week4'!$A:$A,$A205,'Week4'!$J:$J)</f>
        <v/>
      </c>
      <c r="K205" s="7">
        <f>SUMIF('Week1'!$A:$A,$A205,'Week1'!$K:$K)+SUMIF('Week2'!$A:$A,$A205,'Week2'!$K:$K)+SUMIF('Week3'!$A:$A,$A205,'Week3'!$K:$K)+SUMIF('Week4'!$A:$A,$A205,'Week4'!$K:$K)</f>
        <v/>
      </c>
    </row>
    <row r="206">
      <c r="A206" s="6" t="inlineStr">
        <is>
          <t>MANN HASMUKHBHAI VIRANI EOLL</t>
        </is>
      </c>
      <c r="B206" s="6" t="inlineStr">
        <is>
          <t>A-EL CLNR</t>
        </is>
      </c>
      <c r="C206" s="7" t="n">
        <v>1684</v>
      </c>
      <c r="D206" s="7">
        <f>SUMIF('Week1'!$A:$A,$A206,'Week1'!$D:$D)+SUMIF('Week2'!$A:$A,$A206,'Week2'!$D:$D)+SUMIF('Week3'!$A:$A,$A206,'Week3'!$D:$D)+SUMIF('Week4'!$A:$A,$A206,'Week4'!$D:$D)</f>
        <v/>
      </c>
      <c r="E206" s="7">
        <f>SUMIF('Week1'!$A:$A,$A206,'Week1'!$E:$E)+SUMIF('Week2'!$A:$A,$A206,'Week2'!$E:$E)+SUMIF('Week3'!$A:$A,$A206,'Week3'!$E:$E)+SUMIF('Week4'!$A:$A,$A206,'Week4'!$E:$E)</f>
        <v/>
      </c>
      <c r="F206" s="7">
        <f>SUMIF('Week1'!$A:$A,$A206,'Week1'!$F:$F)+SUMIF('Week2'!$A:$A,$A206,'Week2'!$F:$F)+SUMIF('Week3'!$A:$A,$A206,'Week3'!$F:$F)+SUMIF('Week4'!$A:$A,$A206,'Week4'!$F:$F)</f>
        <v/>
      </c>
      <c r="G206" s="7">
        <f>SUMIF('Week1'!$A:$A,$A206,'Week1'!$G:$G)+SUMIF('Week2'!$A:$A,$A206,'Week2'!$G:$G)+SUMIF('Week3'!$A:$A,$A206,'Week3'!$G:$G)+SUMIF('Week4'!$A:$A,$A206,'Week4'!$G:$G)</f>
        <v/>
      </c>
      <c r="H206" s="7">
        <f>SUMIF('Week1'!$A:$A,$A206,'Week1'!$H:$H)+SUMIF('Week2'!$A:$A,$A206,'Week2'!$H:$H)+SUMIF('Week3'!$A:$A,$A206,'Week3'!$H:$H)+SUMIF('Week4'!$A:$A,$A206,'Week4'!$H:$H)</f>
        <v/>
      </c>
      <c r="I206" s="7">
        <f>SUMIF('Week1'!$A:$A,$A206,'Week1'!$I:$I)+SUMIF('Week2'!$A:$A,$A206,'Week2'!$I:$I)+SUMIF('Week3'!$A:$A,$A206,'Week3'!$I:$I)+SUMIF('Week4'!$A:$A,$A206,'Week4'!$I:$I)</f>
        <v/>
      </c>
      <c r="J206" s="7">
        <f>SUMIF('Week1'!$A:$A,$A206,'Week1'!$J:$J)+SUMIF('Week2'!$A:$A,$A206,'Week2'!$J:$J)+SUMIF('Week3'!$A:$A,$A206,'Week3'!$J:$J)+SUMIF('Week4'!$A:$A,$A206,'Week4'!$J:$J)</f>
        <v/>
      </c>
      <c r="K206" s="7">
        <f>SUMIF('Week1'!$A:$A,$A206,'Week1'!$K:$K)+SUMIF('Week2'!$A:$A,$A206,'Week2'!$K:$K)+SUMIF('Week3'!$A:$A,$A206,'Week3'!$K:$K)+SUMIF('Week4'!$A:$A,$A206,'Week4'!$K:$K)</f>
        <v/>
      </c>
    </row>
    <row r="207">
      <c r="A207" s="6" t="inlineStr">
        <is>
          <t>TERRY CARVALHO EOLL</t>
        </is>
      </c>
      <c r="B207" s="6" t="inlineStr">
        <is>
          <t>A-EL PKNG HIGH_RISK</t>
        </is>
      </c>
      <c r="C207" s="7" t="n">
        <v>1676</v>
      </c>
      <c r="D207" s="7">
        <f>SUMIF('Week1'!$A:$A,$A207,'Week1'!$D:$D)+SUMIF('Week2'!$A:$A,$A207,'Week2'!$D:$D)+SUMIF('Week3'!$A:$A,$A207,'Week3'!$D:$D)+SUMIF('Week4'!$A:$A,$A207,'Week4'!$D:$D)</f>
        <v/>
      </c>
      <c r="E207" s="7">
        <f>SUMIF('Week1'!$A:$A,$A207,'Week1'!$E:$E)+SUMIF('Week2'!$A:$A,$A207,'Week2'!$E:$E)+SUMIF('Week3'!$A:$A,$A207,'Week3'!$E:$E)+SUMIF('Week4'!$A:$A,$A207,'Week4'!$E:$E)</f>
        <v/>
      </c>
      <c r="F207" s="7">
        <f>SUMIF('Week1'!$A:$A,$A207,'Week1'!$F:$F)+SUMIF('Week2'!$A:$A,$A207,'Week2'!$F:$F)+SUMIF('Week3'!$A:$A,$A207,'Week3'!$F:$F)+SUMIF('Week4'!$A:$A,$A207,'Week4'!$F:$F)</f>
        <v/>
      </c>
      <c r="G207" s="7">
        <f>SUMIF('Week1'!$A:$A,$A207,'Week1'!$G:$G)+SUMIF('Week2'!$A:$A,$A207,'Week2'!$G:$G)+SUMIF('Week3'!$A:$A,$A207,'Week3'!$G:$G)+SUMIF('Week4'!$A:$A,$A207,'Week4'!$G:$G)</f>
        <v/>
      </c>
      <c r="H207" s="7">
        <f>SUMIF('Week1'!$A:$A,$A207,'Week1'!$H:$H)+SUMIF('Week2'!$A:$A,$A207,'Week2'!$H:$H)+SUMIF('Week3'!$A:$A,$A207,'Week3'!$H:$H)+SUMIF('Week4'!$A:$A,$A207,'Week4'!$H:$H)</f>
        <v/>
      </c>
      <c r="I207" s="7">
        <f>SUMIF('Week1'!$A:$A,$A207,'Week1'!$I:$I)+SUMIF('Week2'!$A:$A,$A207,'Week2'!$I:$I)+SUMIF('Week3'!$A:$A,$A207,'Week3'!$I:$I)+SUMIF('Week4'!$A:$A,$A207,'Week4'!$I:$I)</f>
        <v/>
      </c>
      <c r="J207" s="7">
        <f>SUMIF('Week1'!$A:$A,$A207,'Week1'!$J:$J)+SUMIF('Week2'!$A:$A,$A207,'Week2'!$J:$J)+SUMIF('Week3'!$A:$A,$A207,'Week3'!$J:$J)+SUMIF('Week4'!$A:$A,$A207,'Week4'!$J:$J)</f>
        <v/>
      </c>
      <c r="K207" s="7">
        <f>SUMIF('Week1'!$A:$A,$A207,'Week1'!$K:$K)+SUMIF('Week2'!$A:$A,$A207,'Week2'!$K:$K)+SUMIF('Week3'!$A:$A,$A207,'Week3'!$K:$K)+SUMIF('Week4'!$A:$A,$A207,'Week4'!$K:$K)</f>
        <v/>
      </c>
    </row>
    <row r="208">
      <c r="A208" s="6" t="inlineStr">
        <is>
          <t>PANKIT MUKESHKUMAR EOLL</t>
        </is>
      </c>
      <c r="B208" s="6" t="inlineStr">
        <is>
          <t>A-EL PKNG SLEEVING</t>
        </is>
      </c>
      <c r="C208" s="7" t="n">
        <v>1678</v>
      </c>
      <c r="D208" s="7">
        <f>SUMIF('Week1'!$A:$A,$A208,'Week1'!$D:$D)+SUMIF('Week2'!$A:$A,$A208,'Week2'!$D:$D)+SUMIF('Week3'!$A:$A,$A208,'Week3'!$D:$D)+SUMIF('Week4'!$A:$A,$A208,'Week4'!$D:$D)</f>
        <v/>
      </c>
      <c r="E208" s="7">
        <f>SUMIF('Week1'!$A:$A,$A208,'Week1'!$E:$E)+SUMIF('Week2'!$A:$A,$A208,'Week2'!$E:$E)+SUMIF('Week3'!$A:$A,$A208,'Week3'!$E:$E)+SUMIF('Week4'!$A:$A,$A208,'Week4'!$E:$E)</f>
        <v/>
      </c>
      <c r="F208" s="7">
        <f>SUMIF('Week1'!$A:$A,$A208,'Week1'!$F:$F)+SUMIF('Week2'!$A:$A,$A208,'Week2'!$F:$F)+SUMIF('Week3'!$A:$A,$A208,'Week3'!$F:$F)+SUMIF('Week4'!$A:$A,$A208,'Week4'!$F:$F)</f>
        <v/>
      </c>
      <c r="G208" s="7">
        <f>SUMIF('Week1'!$A:$A,$A208,'Week1'!$G:$G)+SUMIF('Week2'!$A:$A,$A208,'Week2'!$G:$G)+SUMIF('Week3'!$A:$A,$A208,'Week3'!$G:$G)+SUMIF('Week4'!$A:$A,$A208,'Week4'!$G:$G)</f>
        <v/>
      </c>
      <c r="H208" s="7">
        <f>SUMIF('Week1'!$A:$A,$A208,'Week1'!$H:$H)+SUMIF('Week2'!$A:$A,$A208,'Week2'!$H:$H)+SUMIF('Week3'!$A:$A,$A208,'Week3'!$H:$H)+SUMIF('Week4'!$A:$A,$A208,'Week4'!$H:$H)</f>
        <v/>
      </c>
      <c r="I208" s="7">
        <f>SUMIF('Week1'!$A:$A,$A208,'Week1'!$I:$I)+SUMIF('Week2'!$A:$A,$A208,'Week2'!$I:$I)+SUMIF('Week3'!$A:$A,$A208,'Week3'!$I:$I)+SUMIF('Week4'!$A:$A,$A208,'Week4'!$I:$I)</f>
        <v/>
      </c>
      <c r="J208" s="7">
        <f>SUMIF('Week1'!$A:$A,$A208,'Week1'!$J:$J)+SUMIF('Week2'!$A:$A,$A208,'Week2'!$J:$J)+SUMIF('Week3'!$A:$A,$A208,'Week3'!$J:$J)+SUMIF('Week4'!$A:$A,$A208,'Week4'!$J:$J)</f>
        <v/>
      </c>
      <c r="K208" s="7">
        <f>SUMIF('Week1'!$A:$A,$A208,'Week1'!$K:$K)+SUMIF('Week2'!$A:$A,$A208,'Week2'!$K:$K)+SUMIF('Week3'!$A:$A,$A208,'Week3'!$K:$K)+SUMIF('Week4'!$A:$A,$A208,'Week4'!$K:$K)</f>
        <v/>
      </c>
    </row>
    <row r="209">
      <c r="A209" s="6" t="inlineStr">
        <is>
          <t>JAYA KANJI EOLL</t>
        </is>
      </c>
      <c r="B209" s="6" t="inlineStr">
        <is>
          <t>A-EL PROD BELT</t>
        </is>
      </c>
      <c r="C209" s="7" t="n">
        <v>1674</v>
      </c>
      <c r="D209" s="7">
        <f>SUMIF('Week1'!$A:$A,$A209,'Week1'!$D:$D)+SUMIF('Week2'!$A:$A,$A209,'Week2'!$D:$D)+SUMIF('Week3'!$A:$A,$A209,'Week3'!$D:$D)+SUMIF('Week4'!$A:$A,$A209,'Week4'!$D:$D)</f>
        <v/>
      </c>
      <c r="E209" s="7">
        <f>SUMIF('Week1'!$A:$A,$A209,'Week1'!$E:$E)+SUMIF('Week2'!$A:$A,$A209,'Week2'!$E:$E)+SUMIF('Week3'!$A:$A,$A209,'Week3'!$E:$E)+SUMIF('Week4'!$A:$A,$A209,'Week4'!$E:$E)</f>
        <v/>
      </c>
      <c r="F209" s="7">
        <f>SUMIF('Week1'!$A:$A,$A209,'Week1'!$F:$F)+SUMIF('Week2'!$A:$A,$A209,'Week2'!$F:$F)+SUMIF('Week3'!$A:$A,$A209,'Week3'!$F:$F)+SUMIF('Week4'!$A:$A,$A209,'Week4'!$F:$F)</f>
        <v/>
      </c>
      <c r="G209" s="7">
        <f>SUMIF('Week1'!$A:$A,$A209,'Week1'!$G:$G)+SUMIF('Week2'!$A:$A,$A209,'Week2'!$G:$G)+SUMIF('Week3'!$A:$A,$A209,'Week3'!$G:$G)+SUMIF('Week4'!$A:$A,$A209,'Week4'!$G:$G)</f>
        <v/>
      </c>
      <c r="H209" s="7">
        <f>SUMIF('Week1'!$A:$A,$A209,'Week1'!$H:$H)+SUMIF('Week2'!$A:$A,$A209,'Week2'!$H:$H)+SUMIF('Week3'!$A:$A,$A209,'Week3'!$H:$H)+SUMIF('Week4'!$A:$A,$A209,'Week4'!$H:$H)</f>
        <v/>
      </c>
      <c r="I209" s="7">
        <f>SUMIF('Week1'!$A:$A,$A209,'Week1'!$I:$I)+SUMIF('Week2'!$A:$A,$A209,'Week2'!$I:$I)+SUMIF('Week3'!$A:$A,$A209,'Week3'!$I:$I)+SUMIF('Week4'!$A:$A,$A209,'Week4'!$I:$I)</f>
        <v/>
      </c>
      <c r="J209" s="7">
        <f>SUMIF('Week1'!$A:$A,$A209,'Week1'!$J:$J)+SUMIF('Week2'!$A:$A,$A209,'Week2'!$J:$J)+SUMIF('Week3'!$A:$A,$A209,'Week3'!$J:$J)+SUMIF('Week4'!$A:$A,$A209,'Week4'!$J:$J)</f>
        <v/>
      </c>
      <c r="K209" s="7">
        <f>SUMIF('Week1'!$A:$A,$A209,'Week1'!$K:$K)+SUMIF('Week2'!$A:$A,$A209,'Week2'!$K:$K)+SUMIF('Week3'!$A:$A,$A209,'Week3'!$K:$K)+SUMIF('Week4'!$A:$A,$A209,'Week4'!$K:$K)</f>
        <v/>
      </c>
    </row>
    <row r="210">
      <c r="A210" s="6" t="inlineStr">
        <is>
          <t>VIDYA SALGAOCAR EOLL</t>
        </is>
      </c>
      <c r="B210" s="6" t="inlineStr">
        <is>
          <t>A-EL PROD BELT</t>
        </is>
      </c>
      <c r="C210" s="7" t="n">
        <v>1671</v>
      </c>
      <c r="D210" s="7">
        <f>SUMIF('Week1'!$A:$A,$A210,'Week1'!$D:$D)+SUMIF('Week2'!$A:$A,$A210,'Week2'!$D:$D)+SUMIF('Week3'!$A:$A,$A210,'Week3'!$D:$D)+SUMIF('Week4'!$A:$A,$A210,'Week4'!$D:$D)</f>
        <v/>
      </c>
      <c r="E210" s="7">
        <f>SUMIF('Week1'!$A:$A,$A210,'Week1'!$E:$E)+SUMIF('Week2'!$A:$A,$A210,'Week2'!$E:$E)+SUMIF('Week3'!$A:$A,$A210,'Week3'!$E:$E)+SUMIF('Week4'!$A:$A,$A210,'Week4'!$E:$E)</f>
        <v/>
      </c>
      <c r="F210" s="7">
        <f>SUMIF('Week1'!$A:$A,$A210,'Week1'!$F:$F)+SUMIF('Week2'!$A:$A,$A210,'Week2'!$F:$F)+SUMIF('Week3'!$A:$A,$A210,'Week3'!$F:$F)+SUMIF('Week4'!$A:$A,$A210,'Week4'!$F:$F)</f>
        <v/>
      </c>
      <c r="G210" s="7">
        <f>SUMIF('Week1'!$A:$A,$A210,'Week1'!$G:$G)+SUMIF('Week2'!$A:$A,$A210,'Week2'!$G:$G)+SUMIF('Week3'!$A:$A,$A210,'Week3'!$G:$G)+SUMIF('Week4'!$A:$A,$A210,'Week4'!$G:$G)</f>
        <v/>
      </c>
      <c r="H210" s="7">
        <f>SUMIF('Week1'!$A:$A,$A210,'Week1'!$H:$H)+SUMIF('Week2'!$A:$A,$A210,'Week2'!$H:$H)+SUMIF('Week3'!$A:$A,$A210,'Week3'!$H:$H)+SUMIF('Week4'!$A:$A,$A210,'Week4'!$H:$H)</f>
        <v/>
      </c>
      <c r="I210" s="7">
        <f>SUMIF('Week1'!$A:$A,$A210,'Week1'!$I:$I)+SUMIF('Week2'!$A:$A,$A210,'Week2'!$I:$I)+SUMIF('Week3'!$A:$A,$A210,'Week3'!$I:$I)+SUMIF('Week4'!$A:$A,$A210,'Week4'!$I:$I)</f>
        <v/>
      </c>
      <c r="J210" s="7">
        <f>SUMIF('Week1'!$A:$A,$A210,'Week1'!$J:$J)+SUMIF('Week2'!$A:$A,$A210,'Week2'!$J:$J)+SUMIF('Week3'!$A:$A,$A210,'Week3'!$J:$J)+SUMIF('Week4'!$A:$A,$A210,'Week4'!$J:$J)</f>
        <v/>
      </c>
      <c r="K210" s="7">
        <f>SUMIF('Week1'!$A:$A,$A210,'Week1'!$K:$K)+SUMIF('Week2'!$A:$A,$A210,'Week2'!$K:$K)+SUMIF('Week3'!$A:$A,$A210,'Week3'!$K:$K)+SUMIF('Week4'!$A:$A,$A210,'Week4'!$K:$K)</f>
        <v/>
      </c>
    </row>
    <row r="211">
      <c r="A211" s="6" t="inlineStr">
        <is>
          <t>KALPESHKUMAR PREMJIBHAI EOLL</t>
        </is>
      </c>
      <c r="B211" s="6" t="inlineStr">
        <is>
          <t>A-EL PROD FRYING</t>
        </is>
      </c>
      <c r="C211" s="7" t="n">
        <v>1673</v>
      </c>
      <c r="D211" s="7">
        <f>SUMIF('Week1'!$A:$A,$A211,'Week1'!$D:$D)+SUMIF('Week2'!$A:$A,$A211,'Week2'!$D:$D)+SUMIF('Week3'!$A:$A,$A211,'Week3'!$D:$D)+SUMIF('Week4'!$A:$A,$A211,'Week4'!$D:$D)</f>
        <v/>
      </c>
      <c r="E211" s="7">
        <f>SUMIF('Week1'!$A:$A,$A211,'Week1'!$E:$E)+SUMIF('Week2'!$A:$A,$A211,'Week2'!$E:$E)+SUMIF('Week3'!$A:$A,$A211,'Week3'!$E:$E)+SUMIF('Week4'!$A:$A,$A211,'Week4'!$E:$E)</f>
        <v/>
      </c>
      <c r="F211" s="7">
        <f>SUMIF('Week1'!$A:$A,$A211,'Week1'!$F:$F)+SUMIF('Week2'!$A:$A,$A211,'Week2'!$F:$F)+SUMIF('Week3'!$A:$A,$A211,'Week3'!$F:$F)+SUMIF('Week4'!$A:$A,$A211,'Week4'!$F:$F)</f>
        <v/>
      </c>
      <c r="G211" s="7">
        <f>SUMIF('Week1'!$A:$A,$A211,'Week1'!$G:$G)+SUMIF('Week2'!$A:$A,$A211,'Week2'!$G:$G)+SUMIF('Week3'!$A:$A,$A211,'Week3'!$G:$G)+SUMIF('Week4'!$A:$A,$A211,'Week4'!$G:$G)</f>
        <v/>
      </c>
      <c r="H211" s="7">
        <f>SUMIF('Week1'!$A:$A,$A211,'Week1'!$H:$H)+SUMIF('Week2'!$A:$A,$A211,'Week2'!$H:$H)+SUMIF('Week3'!$A:$A,$A211,'Week3'!$H:$H)+SUMIF('Week4'!$A:$A,$A211,'Week4'!$H:$H)</f>
        <v/>
      </c>
      <c r="I211" s="7">
        <f>SUMIF('Week1'!$A:$A,$A211,'Week1'!$I:$I)+SUMIF('Week2'!$A:$A,$A211,'Week2'!$I:$I)+SUMIF('Week3'!$A:$A,$A211,'Week3'!$I:$I)+SUMIF('Week4'!$A:$A,$A211,'Week4'!$I:$I)</f>
        <v/>
      </c>
      <c r="J211" s="7">
        <f>SUMIF('Week1'!$A:$A,$A211,'Week1'!$J:$J)+SUMIF('Week2'!$A:$A,$A211,'Week2'!$J:$J)+SUMIF('Week3'!$A:$A,$A211,'Week3'!$J:$J)+SUMIF('Week4'!$A:$A,$A211,'Week4'!$J:$J)</f>
        <v/>
      </c>
      <c r="K211" s="7">
        <f>SUMIF('Week1'!$A:$A,$A211,'Week1'!$K:$K)+SUMIF('Week2'!$A:$A,$A211,'Week2'!$K:$K)+SUMIF('Week3'!$A:$A,$A211,'Week3'!$K:$K)+SUMIF('Week4'!$A:$A,$A211,'Week4'!$K:$K)</f>
        <v/>
      </c>
    </row>
    <row r="212">
      <c r="A212" s="6" t="inlineStr">
        <is>
          <t>ASHLEY ALCINO GRACIAS EOLL</t>
        </is>
      </c>
      <c r="B212" s="6" t="inlineStr">
        <is>
          <t>A-EL PROD PREPARATION</t>
        </is>
      </c>
      <c r="C212" s="7" t="n">
        <v>1672</v>
      </c>
      <c r="D212" s="7">
        <f>SUMIF('Week1'!$A:$A,$A212,'Week1'!$D:$D)+SUMIF('Week2'!$A:$A,$A212,'Week2'!$D:$D)+SUMIF('Week3'!$A:$A,$A212,'Week3'!$D:$D)+SUMIF('Week4'!$A:$A,$A212,'Week4'!$D:$D)</f>
        <v/>
      </c>
      <c r="E212" s="7">
        <f>SUMIF('Week1'!$A:$A,$A212,'Week1'!$E:$E)+SUMIF('Week2'!$A:$A,$A212,'Week2'!$E:$E)+SUMIF('Week3'!$A:$A,$A212,'Week3'!$E:$E)+SUMIF('Week4'!$A:$A,$A212,'Week4'!$E:$E)</f>
        <v/>
      </c>
      <c r="F212" s="7">
        <f>SUMIF('Week1'!$A:$A,$A212,'Week1'!$F:$F)+SUMIF('Week2'!$A:$A,$A212,'Week2'!$F:$F)+SUMIF('Week3'!$A:$A,$A212,'Week3'!$F:$F)+SUMIF('Week4'!$A:$A,$A212,'Week4'!$F:$F)</f>
        <v/>
      </c>
      <c r="G212" s="7">
        <f>SUMIF('Week1'!$A:$A,$A212,'Week1'!$G:$G)+SUMIF('Week2'!$A:$A,$A212,'Week2'!$G:$G)+SUMIF('Week3'!$A:$A,$A212,'Week3'!$G:$G)+SUMIF('Week4'!$A:$A,$A212,'Week4'!$G:$G)</f>
        <v/>
      </c>
      <c r="H212" s="7">
        <f>SUMIF('Week1'!$A:$A,$A212,'Week1'!$H:$H)+SUMIF('Week2'!$A:$A,$A212,'Week2'!$H:$H)+SUMIF('Week3'!$A:$A,$A212,'Week3'!$H:$H)+SUMIF('Week4'!$A:$A,$A212,'Week4'!$H:$H)</f>
        <v/>
      </c>
      <c r="I212" s="7">
        <f>SUMIF('Week1'!$A:$A,$A212,'Week1'!$I:$I)+SUMIF('Week2'!$A:$A,$A212,'Week2'!$I:$I)+SUMIF('Week3'!$A:$A,$A212,'Week3'!$I:$I)+SUMIF('Week4'!$A:$A,$A212,'Week4'!$I:$I)</f>
        <v/>
      </c>
      <c r="J212" s="7">
        <f>SUMIF('Week1'!$A:$A,$A212,'Week1'!$J:$J)+SUMIF('Week2'!$A:$A,$A212,'Week2'!$J:$J)+SUMIF('Week3'!$A:$A,$A212,'Week3'!$J:$J)+SUMIF('Week4'!$A:$A,$A212,'Week4'!$J:$J)</f>
        <v/>
      </c>
      <c r="K212" s="7">
        <f>SUMIF('Week1'!$A:$A,$A212,'Week1'!$K:$K)+SUMIF('Week2'!$A:$A,$A212,'Week2'!$K:$K)+SUMIF('Week3'!$A:$A,$A212,'Week3'!$K:$K)+SUMIF('Week4'!$A:$A,$A212,'Week4'!$K:$K)</f>
        <v/>
      </c>
    </row>
    <row r="213">
      <c r="A213" s="6" t="inlineStr">
        <is>
          <t>JASVANT JAYANTI EOLL</t>
        </is>
      </c>
      <c r="B213" s="6" t="inlineStr">
        <is>
          <t>A-EL PROD PREPARATION</t>
        </is>
      </c>
      <c r="C213" s="7" t="n">
        <v>1680</v>
      </c>
      <c r="D213" s="7">
        <f>SUMIF('Week1'!$A:$A,$A213,'Week1'!$D:$D)+SUMIF('Week2'!$A:$A,$A213,'Week2'!$D:$D)+SUMIF('Week3'!$A:$A,$A213,'Week3'!$D:$D)+SUMIF('Week4'!$A:$A,$A213,'Week4'!$D:$D)</f>
        <v/>
      </c>
      <c r="E213" s="7">
        <f>SUMIF('Week1'!$A:$A,$A213,'Week1'!$E:$E)+SUMIF('Week2'!$A:$A,$A213,'Week2'!$E:$E)+SUMIF('Week3'!$A:$A,$A213,'Week3'!$E:$E)+SUMIF('Week4'!$A:$A,$A213,'Week4'!$E:$E)</f>
        <v/>
      </c>
      <c r="F213" s="7">
        <f>SUMIF('Week1'!$A:$A,$A213,'Week1'!$F:$F)+SUMIF('Week2'!$A:$A,$A213,'Week2'!$F:$F)+SUMIF('Week3'!$A:$A,$A213,'Week3'!$F:$F)+SUMIF('Week4'!$A:$A,$A213,'Week4'!$F:$F)</f>
        <v/>
      </c>
      <c r="G213" s="7">
        <f>SUMIF('Week1'!$A:$A,$A213,'Week1'!$G:$G)+SUMIF('Week2'!$A:$A,$A213,'Week2'!$G:$G)+SUMIF('Week3'!$A:$A,$A213,'Week3'!$G:$G)+SUMIF('Week4'!$A:$A,$A213,'Week4'!$G:$G)</f>
        <v/>
      </c>
      <c r="H213" s="7">
        <f>SUMIF('Week1'!$A:$A,$A213,'Week1'!$H:$H)+SUMIF('Week2'!$A:$A,$A213,'Week2'!$H:$H)+SUMIF('Week3'!$A:$A,$A213,'Week3'!$H:$H)+SUMIF('Week4'!$A:$A,$A213,'Week4'!$H:$H)</f>
        <v/>
      </c>
      <c r="I213" s="7">
        <f>SUMIF('Week1'!$A:$A,$A213,'Week1'!$I:$I)+SUMIF('Week2'!$A:$A,$A213,'Week2'!$I:$I)+SUMIF('Week3'!$A:$A,$A213,'Week3'!$I:$I)+SUMIF('Week4'!$A:$A,$A213,'Week4'!$I:$I)</f>
        <v/>
      </c>
      <c r="J213" s="7">
        <f>SUMIF('Week1'!$A:$A,$A213,'Week1'!$J:$J)+SUMIF('Week2'!$A:$A,$A213,'Week2'!$J:$J)+SUMIF('Week3'!$A:$A,$A213,'Week3'!$J:$J)+SUMIF('Week4'!$A:$A,$A213,'Week4'!$J:$J)</f>
        <v/>
      </c>
      <c r="K213" s="7">
        <f>SUMIF('Week1'!$A:$A,$A213,'Week1'!$K:$K)+SUMIF('Week2'!$A:$A,$A213,'Week2'!$K:$K)+SUMIF('Week3'!$A:$A,$A213,'Week3'!$K:$K)+SUMIF('Week4'!$A:$A,$A213,'Week4'!$K:$K)</f>
        <v/>
      </c>
    </row>
    <row r="214">
      <c r="A214" s="6" t="inlineStr">
        <is>
          <t>SUJAY DUDKIYA RESPONSE</t>
        </is>
      </c>
      <c r="B214" s="6" t="inlineStr">
        <is>
          <t>A-RS PKNG SLEEVING</t>
        </is>
      </c>
      <c r="C214" s="7" t="n">
        <v>1682</v>
      </c>
      <c r="D214" s="7">
        <f>SUMIF('Week1'!$A:$A,$A214,'Week1'!$D:$D)+SUMIF('Week2'!$A:$A,$A214,'Week2'!$D:$D)+SUMIF('Week3'!$A:$A,$A214,'Week3'!$D:$D)+SUMIF('Week4'!$A:$A,$A214,'Week4'!$D:$D)</f>
        <v/>
      </c>
      <c r="E214" s="7">
        <f>SUMIF('Week1'!$A:$A,$A214,'Week1'!$E:$E)+SUMIF('Week2'!$A:$A,$A214,'Week2'!$E:$E)+SUMIF('Week3'!$A:$A,$A214,'Week3'!$E:$E)+SUMIF('Week4'!$A:$A,$A214,'Week4'!$E:$E)</f>
        <v/>
      </c>
      <c r="F214" s="7">
        <f>SUMIF('Week1'!$A:$A,$A214,'Week1'!$F:$F)+SUMIF('Week2'!$A:$A,$A214,'Week2'!$F:$F)+SUMIF('Week3'!$A:$A,$A214,'Week3'!$F:$F)+SUMIF('Week4'!$A:$A,$A214,'Week4'!$F:$F)</f>
        <v/>
      </c>
      <c r="G214" s="7">
        <f>SUMIF('Week1'!$A:$A,$A214,'Week1'!$G:$G)+SUMIF('Week2'!$A:$A,$A214,'Week2'!$G:$G)+SUMIF('Week3'!$A:$A,$A214,'Week3'!$G:$G)+SUMIF('Week4'!$A:$A,$A214,'Week4'!$G:$G)</f>
        <v/>
      </c>
      <c r="H214" s="7">
        <f>SUMIF('Week1'!$A:$A,$A214,'Week1'!$H:$H)+SUMIF('Week2'!$A:$A,$A214,'Week2'!$H:$H)+SUMIF('Week3'!$A:$A,$A214,'Week3'!$H:$H)+SUMIF('Week4'!$A:$A,$A214,'Week4'!$H:$H)</f>
        <v/>
      </c>
      <c r="I214" s="7">
        <f>SUMIF('Week1'!$A:$A,$A214,'Week1'!$I:$I)+SUMIF('Week2'!$A:$A,$A214,'Week2'!$I:$I)+SUMIF('Week3'!$A:$A,$A214,'Week3'!$I:$I)+SUMIF('Week4'!$A:$A,$A214,'Week4'!$I:$I)</f>
        <v/>
      </c>
      <c r="J214" s="7">
        <f>SUMIF('Week1'!$A:$A,$A214,'Week1'!$J:$J)+SUMIF('Week2'!$A:$A,$A214,'Week2'!$J:$J)+SUMIF('Week3'!$A:$A,$A214,'Week3'!$J:$J)+SUMIF('Week4'!$A:$A,$A214,'Week4'!$J:$J)</f>
        <v/>
      </c>
      <c r="K214" s="7">
        <f>SUMIF('Week1'!$A:$A,$A214,'Week1'!$K:$K)+SUMIF('Week2'!$A:$A,$A214,'Week2'!$K:$K)+SUMIF('Week3'!$A:$A,$A214,'Week3'!$K:$K)+SUMIF('Week4'!$A:$A,$A214,'Week4'!$K:$K)</f>
        <v/>
      </c>
    </row>
    <row r="215">
      <c r="A215" s="6" t="inlineStr">
        <is>
          <t>RAKESH PATIL RESPONSE</t>
        </is>
      </c>
      <c r="B215" s="6" t="inlineStr">
        <is>
          <t>A-RS PKNG SLEEVING</t>
        </is>
      </c>
      <c r="C215" s="7" t="n">
        <v>1677</v>
      </c>
      <c r="D215" s="7">
        <f>SUMIF('Week1'!$A:$A,$A215,'Week1'!$D:$D)+SUMIF('Week2'!$A:$A,$A215,'Week2'!$D:$D)+SUMIF('Week3'!$A:$A,$A215,'Week3'!$D:$D)+SUMIF('Week4'!$A:$A,$A215,'Week4'!$D:$D)</f>
        <v/>
      </c>
      <c r="E215" s="7">
        <f>SUMIF('Week1'!$A:$A,$A215,'Week1'!$E:$E)+SUMIF('Week2'!$A:$A,$A215,'Week2'!$E:$E)+SUMIF('Week3'!$A:$A,$A215,'Week3'!$E:$E)+SUMIF('Week4'!$A:$A,$A215,'Week4'!$E:$E)</f>
        <v/>
      </c>
      <c r="F215" s="7">
        <f>SUMIF('Week1'!$A:$A,$A215,'Week1'!$F:$F)+SUMIF('Week2'!$A:$A,$A215,'Week2'!$F:$F)+SUMIF('Week3'!$A:$A,$A215,'Week3'!$F:$F)+SUMIF('Week4'!$A:$A,$A215,'Week4'!$F:$F)</f>
        <v/>
      </c>
      <c r="G215" s="7">
        <f>SUMIF('Week1'!$A:$A,$A215,'Week1'!$G:$G)+SUMIF('Week2'!$A:$A,$A215,'Week2'!$G:$G)+SUMIF('Week3'!$A:$A,$A215,'Week3'!$G:$G)+SUMIF('Week4'!$A:$A,$A215,'Week4'!$G:$G)</f>
        <v/>
      </c>
      <c r="H215" s="7">
        <f>SUMIF('Week1'!$A:$A,$A215,'Week1'!$H:$H)+SUMIF('Week2'!$A:$A,$A215,'Week2'!$H:$H)+SUMIF('Week3'!$A:$A,$A215,'Week3'!$H:$H)+SUMIF('Week4'!$A:$A,$A215,'Week4'!$H:$H)</f>
        <v/>
      </c>
      <c r="I215" s="7">
        <f>SUMIF('Week1'!$A:$A,$A215,'Week1'!$I:$I)+SUMIF('Week2'!$A:$A,$A215,'Week2'!$I:$I)+SUMIF('Week3'!$A:$A,$A215,'Week3'!$I:$I)+SUMIF('Week4'!$A:$A,$A215,'Week4'!$I:$I)</f>
        <v/>
      </c>
      <c r="J215" s="7">
        <f>SUMIF('Week1'!$A:$A,$A215,'Week1'!$J:$J)+SUMIF('Week2'!$A:$A,$A215,'Week2'!$J:$J)+SUMIF('Week3'!$A:$A,$A215,'Week3'!$J:$J)+SUMIF('Week4'!$A:$A,$A215,'Week4'!$J:$J)</f>
        <v/>
      </c>
      <c r="K215" s="7">
        <f>SUMIF('Week1'!$A:$A,$A215,'Week1'!$K:$K)+SUMIF('Week2'!$A:$A,$A215,'Week2'!$K:$K)+SUMIF('Week3'!$A:$A,$A215,'Week3'!$K:$K)+SUMIF('Week4'!$A:$A,$A215,'Week4'!$K:$K)</f>
        <v/>
      </c>
    </row>
    <row r="216">
      <c r="A216" s="6" t="inlineStr">
        <is>
          <t>BERNARDO FERNANDES RESPONSE</t>
        </is>
      </c>
      <c r="B216" s="6" t="inlineStr">
        <is>
          <t>A-RS PROD BELT</t>
        </is>
      </c>
      <c r="C216" s="7" t="n">
        <v>1675</v>
      </c>
      <c r="D216" s="7">
        <f>SUMIF('Week1'!$A:$A,$A216,'Week1'!$D:$D)+SUMIF('Week2'!$A:$A,$A216,'Week2'!$D:$D)+SUMIF('Week3'!$A:$A,$A216,'Week3'!$D:$D)+SUMIF('Week4'!$A:$A,$A216,'Week4'!$D:$D)</f>
        <v/>
      </c>
      <c r="E216" s="7">
        <f>SUMIF('Week1'!$A:$A,$A216,'Week1'!$E:$E)+SUMIF('Week2'!$A:$A,$A216,'Week2'!$E:$E)+SUMIF('Week3'!$A:$A,$A216,'Week3'!$E:$E)+SUMIF('Week4'!$A:$A,$A216,'Week4'!$E:$E)</f>
        <v/>
      </c>
      <c r="F216" s="7">
        <f>SUMIF('Week1'!$A:$A,$A216,'Week1'!$F:$F)+SUMIF('Week2'!$A:$A,$A216,'Week2'!$F:$F)+SUMIF('Week3'!$A:$A,$A216,'Week3'!$F:$F)+SUMIF('Week4'!$A:$A,$A216,'Week4'!$F:$F)</f>
        <v/>
      </c>
      <c r="G216" s="7">
        <f>SUMIF('Week1'!$A:$A,$A216,'Week1'!$G:$G)+SUMIF('Week2'!$A:$A,$A216,'Week2'!$G:$G)+SUMIF('Week3'!$A:$A,$A216,'Week3'!$G:$G)+SUMIF('Week4'!$A:$A,$A216,'Week4'!$G:$G)</f>
        <v/>
      </c>
      <c r="H216" s="7">
        <f>SUMIF('Week1'!$A:$A,$A216,'Week1'!$H:$H)+SUMIF('Week2'!$A:$A,$A216,'Week2'!$H:$H)+SUMIF('Week3'!$A:$A,$A216,'Week3'!$H:$H)+SUMIF('Week4'!$A:$A,$A216,'Week4'!$H:$H)</f>
        <v/>
      </c>
      <c r="I216" s="7">
        <f>SUMIF('Week1'!$A:$A,$A216,'Week1'!$I:$I)+SUMIF('Week2'!$A:$A,$A216,'Week2'!$I:$I)+SUMIF('Week3'!$A:$A,$A216,'Week3'!$I:$I)+SUMIF('Week4'!$A:$A,$A216,'Week4'!$I:$I)</f>
        <v/>
      </c>
      <c r="J216" s="7">
        <f>SUMIF('Week1'!$A:$A,$A216,'Week1'!$J:$J)+SUMIF('Week2'!$A:$A,$A216,'Week2'!$J:$J)+SUMIF('Week3'!$A:$A,$A216,'Week3'!$J:$J)+SUMIF('Week4'!$A:$A,$A216,'Week4'!$J:$J)</f>
        <v/>
      </c>
      <c r="K216" s="7">
        <f>SUMIF('Week1'!$A:$A,$A216,'Week1'!$K:$K)+SUMIF('Week2'!$A:$A,$A216,'Week2'!$K:$K)+SUMIF('Week3'!$A:$A,$A216,'Week3'!$K:$K)+SUMIF('Week4'!$A:$A,$A216,'Week4'!$K:$K)</f>
        <v/>
      </c>
    </row>
    <row r="218">
      <c r="A218" s="3" t="inlineStr">
        <is>
          <t>Category totals (month)</t>
        </is>
      </c>
    </row>
    <row r="219">
      <c r="A219" s="4" t="inlineStr">
        <is>
          <t>Sum of hours by work category — calculated with SUMIFS from the employee table above.</t>
        </is>
      </c>
    </row>
    <row r="220">
      <c r="A220" s="5" t="n"/>
      <c r="B220" s="5" t="inlineStr">
        <is>
          <t>Category</t>
        </is>
      </c>
      <c r="C220" s="5" t="n"/>
      <c r="D220" s="5" t="inlineStr">
        <is>
          <t>Basic hours</t>
        </is>
      </c>
      <c r="E220" s="5" t="inlineStr">
        <is>
          <t>Mon–Fri overtime</t>
        </is>
      </c>
      <c r="F220" s="5" t="inlineStr">
        <is>
          <t>Sat/Sun overtime</t>
        </is>
      </c>
      <c r="G220" s="5" t="inlineStr">
        <is>
          <t>Annual holiday</t>
        </is>
      </c>
      <c r="H220" s="5" t="inlineStr">
        <is>
          <t>Total paid hours</t>
        </is>
      </c>
      <c r="I220" s="5" t="n"/>
      <c r="J220" s="5" t="n"/>
      <c r="K220" s="5" t="n"/>
    </row>
    <row r="221">
      <c r="A221" s="6" t="n"/>
      <c r="B221" s="6" t="inlineStr">
        <is>
          <t>A-EL CLNR</t>
        </is>
      </c>
      <c r="C221" s="6" t="n"/>
      <c r="D221" s="7">
        <f>SUMIFS($D$7:$D$216,$B$7:$B$216,$B221)</f>
        <v/>
      </c>
      <c r="E221" s="7">
        <f>SUMIFS($E$7:$E$216,$B$7:$B$216,$B221)</f>
        <v/>
      </c>
      <c r="F221" s="7">
        <f>SUMIFS($F$7:$F$216,$B$7:$B$216,$B221)</f>
        <v/>
      </c>
      <c r="G221" s="7">
        <f>SUMIFS($G$7:$G$216,$B$7:$B$216,$B221)</f>
        <v/>
      </c>
      <c r="H221" s="7">
        <f>SUMIFS($H$7:$H$216,$B$7:$B$216,$B221)</f>
        <v/>
      </c>
      <c r="I221" s="6" t="n"/>
      <c r="J221" s="6" t="n"/>
      <c r="K221" s="6" t="n"/>
    </row>
    <row r="222">
      <c r="A222" s="6" t="n"/>
      <c r="B222" s="6" t="inlineStr">
        <is>
          <t>A-EL DPCH</t>
        </is>
      </c>
      <c r="C222" s="6" t="n"/>
      <c r="D222" s="7">
        <f>SUMIFS($D$7:$D$216,$B$7:$B$216,$B222)</f>
        <v/>
      </c>
      <c r="E222" s="7">
        <f>SUMIFS($E$7:$E$216,$B$7:$B$216,$B222)</f>
        <v/>
      </c>
      <c r="F222" s="7">
        <f>SUMIFS($F$7:$F$216,$B$7:$B$216,$B222)</f>
        <v/>
      </c>
      <c r="G222" s="7">
        <f>SUMIFS($G$7:$G$216,$B$7:$B$216,$B222)</f>
        <v/>
      </c>
      <c r="H222" s="7">
        <f>SUMIFS($H$7:$H$216,$B$7:$B$216,$B222)</f>
        <v/>
      </c>
      <c r="I222" s="6" t="n"/>
      <c r="J222" s="6" t="n"/>
      <c r="K222" s="6" t="n"/>
    </row>
    <row r="223">
      <c r="A223" s="6" t="n"/>
      <c r="B223" s="6" t="inlineStr">
        <is>
          <t>A-EL OFCE</t>
        </is>
      </c>
      <c r="C223" s="6" t="n"/>
      <c r="D223" s="7">
        <f>SUMIFS($D$7:$D$216,$B$7:$B$216,$B223)</f>
        <v/>
      </c>
      <c r="E223" s="7">
        <f>SUMIFS($E$7:$E$216,$B$7:$B$216,$B223)</f>
        <v/>
      </c>
      <c r="F223" s="7">
        <f>SUMIFS($F$7:$F$216,$B$7:$B$216,$B223)</f>
        <v/>
      </c>
      <c r="G223" s="7">
        <f>SUMIFS($G$7:$G$216,$B$7:$B$216,$B223)</f>
        <v/>
      </c>
      <c r="H223" s="7">
        <f>SUMIFS($H$7:$H$216,$B$7:$B$216,$B223)</f>
        <v/>
      </c>
      <c r="I223" s="6" t="n"/>
      <c r="J223" s="6" t="n"/>
      <c r="K223" s="6" t="n"/>
    </row>
    <row r="224">
      <c r="A224" s="6" t="n"/>
      <c r="B224" s="6" t="inlineStr">
        <is>
          <t>A-EL PKNG HIGH_RISK</t>
        </is>
      </c>
      <c r="C224" s="6" t="n"/>
      <c r="D224" s="7">
        <f>SUMIFS($D$7:$D$216,$B$7:$B$216,$B224)</f>
        <v/>
      </c>
      <c r="E224" s="7">
        <f>SUMIFS($E$7:$E$216,$B$7:$B$216,$B224)</f>
        <v/>
      </c>
      <c r="F224" s="7">
        <f>SUMIFS($F$7:$F$216,$B$7:$B$216,$B224)</f>
        <v/>
      </c>
      <c r="G224" s="7">
        <f>SUMIFS($G$7:$G$216,$B$7:$B$216,$B224)</f>
        <v/>
      </c>
      <c r="H224" s="7">
        <f>SUMIFS($H$7:$H$216,$B$7:$B$216,$B224)</f>
        <v/>
      </c>
      <c r="I224" s="6" t="n"/>
      <c r="J224" s="6" t="n"/>
      <c r="K224" s="6" t="n"/>
    </row>
    <row r="225">
      <c r="A225" s="6" t="n"/>
      <c r="B225" s="6" t="inlineStr">
        <is>
          <t>A-EL PKNG SLEEVING</t>
        </is>
      </c>
      <c r="C225" s="6" t="n"/>
      <c r="D225" s="7">
        <f>SUMIFS($D$7:$D$216,$B$7:$B$216,$B225)</f>
        <v/>
      </c>
      <c r="E225" s="7">
        <f>SUMIFS($E$7:$E$216,$B$7:$B$216,$B225)</f>
        <v/>
      </c>
      <c r="F225" s="7">
        <f>SUMIFS($F$7:$F$216,$B$7:$B$216,$B225)</f>
        <v/>
      </c>
      <c r="G225" s="7">
        <f>SUMIFS($G$7:$G$216,$B$7:$B$216,$B225)</f>
        <v/>
      </c>
      <c r="H225" s="7">
        <f>SUMIFS($H$7:$H$216,$B$7:$B$216,$B225)</f>
        <v/>
      </c>
      <c r="I225" s="6" t="n"/>
      <c r="J225" s="6" t="n"/>
      <c r="K225" s="6" t="n"/>
    </row>
    <row r="226">
      <c r="A226" s="6" t="n"/>
      <c r="B226" s="6" t="inlineStr">
        <is>
          <t>A-EL PROD BELT</t>
        </is>
      </c>
      <c r="C226" s="6" t="n"/>
      <c r="D226" s="7">
        <f>SUMIFS($D$7:$D$216,$B$7:$B$216,$B226)</f>
        <v/>
      </c>
      <c r="E226" s="7">
        <f>SUMIFS($E$7:$E$216,$B$7:$B$216,$B226)</f>
        <v/>
      </c>
      <c r="F226" s="7">
        <f>SUMIFS($F$7:$F$216,$B$7:$B$216,$B226)</f>
        <v/>
      </c>
      <c r="G226" s="7">
        <f>SUMIFS($G$7:$G$216,$B$7:$B$216,$B226)</f>
        <v/>
      </c>
      <c r="H226" s="7">
        <f>SUMIFS($H$7:$H$216,$B$7:$B$216,$B226)</f>
        <v/>
      </c>
      <c r="I226" s="6" t="n"/>
      <c r="J226" s="6" t="n"/>
      <c r="K226" s="6" t="n"/>
    </row>
    <row r="227">
      <c r="A227" s="6" t="n"/>
      <c r="B227" s="6" t="inlineStr">
        <is>
          <t>A-EL PROD FORMING</t>
        </is>
      </c>
      <c r="C227" s="6" t="n"/>
      <c r="D227" s="7">
        <f>SUMIFS($D$7:$D$216,$B$7:$B$216,$B227)</f>
        <v/>
      </c>
      <c r="E227" s="7">
        <f>SUMIFS($E$7:$E$216,$B$7:$B$216,$B227)</f>
        <v/>
      </c>
      <c r="F227" s="7">
        <f>SUMIFS($F$7:$F$216,$B$7:$B$216,$B227)</f>
        <v/>
      </c>
      <c r="G227" s="7">
        <f>SUMIFS($G$7:$G$216,$B$7:$B$216,$B227)</f>
        <v/>
      </c>
      <c r="H227" s="7">
        <f>SUMIFS($H$7:$H$216,$B$7:$B$216,$B227)</f>
        <v/>
      </c>
      <c r="I227" s="6" t="n"/>
      <c r="J227" s="6" t="n"/>
      <c r="K227" s="6" t="n"/>
    </row>
    <row r="228">
      <c r="A228" s="6" t="n"/>
      <c r="B228" s="6" t="inlineStr">
        <is>
          <t>A-EL PROD FRYING</t>
        </is>
      </c>
      <c r="C228" s="6" t="n"/>
      <c r="D228" s="7">
        <f>SUMIFS($D$7:$D$216,$B$7:$B$216,$B228)</f>
        <v/>
      </c>
      <c r="E228" s="7">
        <f>SUMIFS($E$7:$E$216,$B$7:$B$216,$B228)</f>
        <v/>
      </c>
      <c r="F228" s="7">
        <f>SUMIFS($F$7:$F$216,$B$7:$B$216,$B228)</f>
        <v/>
      </c>
      <c r="G228" s="7">
        <f>SUMIFS($G$7:$G$216,$B$7:$B$216,$B228)</f>
        <v/>
      </c>
      <c r="H228" s="7">
        <f>SUMIFS($H$7:$H$216,$B$7:$B$216,$B228)</f>
        <v/>
      </c>
      <c r="I228" s="6" t="n"/>
      <c r="J228" s="6" t="n"/>
      <c r="K228" s="6" t="n"/>
    </row>
    <row r="229">
      <c r="A229" s="6" t="n"/>
      <c r="B229" s="6" t="inlineStr">
        <is>
          <t>A-EL PROD PREPARATION</t>
        </is>
      </c>
      <c r="C229" s="6" t="n"/>
      <c r="D229" s="7">
        <f>SUMIFS($D$7:$D$216,$B$7:$B$216,$B229)</f>
        <v/>
      </c>
      <c r="E229" s="7">
        <f>SUMIFS($E$7:$E$216,$B$7:$B$216,$B229)</f>
        <v/>
      </c>
      <c r="F229" s="7">
        <f>SUMIFS($F$7:$F$216,$B$7:$B$216,$B229)</f>
        <v/>
      </c>
      <c r="G229" s="7">
        <f>SUMIFS($G$7:$G$216,$B$7:$B$216,$B229)</f>
        <v/>
      </c>
      <c r="H229" s="7">
        <f>SUMIFS($H$7:$H$216,$B$7:$B$216,$B229)</f>
        <v/>
      </c>
      <c r="I229" s="6" t="n"/>
      <c r="J229" s="6" t="n"/>
      <c r="K229" s="6" t="n"/>
    </row>
    <row r="230">
      <c r="A230" s="6" t="n"/>
      <c r="B230" s="6" t="inlineStr">
        <is>
          <t>A-EL TECHNICAL</t>
        </is>
      </c>
      <c r="C230" s="6" t="n"/>
      <c r="D230" s="7">
        <f>SUMIFS($D$7:$D$216,$B$7:$B$216,$B230)</f>
        <v/>
      </c>
      <c r="E230" s="7">
        <f>SUMIFS($E$7:$E$216,$B$7:$B$216,$B230)</f>
        <v/>
      </c>
      <c r="F230" s="7">
        <f>SUMIFS($F$7:$F$216,$B$7:$B$216,$B230)</f>
        <v/>
      </c>
      <c r="G230" s="7">
        <f>SUMIFS($G$7:$G$216,$B$7:$B$216,$B230)</f>
        <v/>
      </c>
      <c r="H230" s="7">
        <f>SUMIFS($H$7:$H$216,$B$7:$B$216,$B230)</f>
        <v/>
      </c>
      <c r="I230" s="6" t="n"/>
      <c r="J230" s="6" t="n"/>
      <c r="K230" s="6" t="n"/>
    </row>
    <row r="231">
      <c r="A231" s="6" t="n"/>
      <c r="B231" s="6" t="inlineStr">
        <is>
          <t>A-EL WRHS</t>
        </is>
      </c>
      <c r="C231" s="6" t="n"/>
      <c r="D231" s="7">
        <f>SUMIFS($D$7:$D$216,$B$7:$B$216,$B231)</f>
        <v/>
      </c>
      <c r="E231" s="7">
        <f>SUMIFS($E$7:$E$216,$B$7:$B$216,$B231)</f>
        <v/>
      </c>
      <c r="F231" s="7">
        <f>SUMIFS($F$7:$F$216,$B$7:$B$216,$B231)</f>
        <v/>
      </c>
      <c r="G231" s="7">
        <f>SUMIFS($G$7:$G$216,$B$7:$B$216,$B231)</f>
        <v/>
      </c>
      <c r="H231" s="7">
        <f>SUMIFS($H$7:$H$216,$B$7:$B$216,$B231)</f>
        <v/>
      </c>
      <c r="I231" s="6" t="n"/>
      <c r="J231" s="6" t="n"/>
      <c r="K231" s="6" t="n"/>
    </row>
    <row r="232">
      <c r="A232" s="6" t="n"/>
      <c r="B232" s="6" t="inlineStr">
        <is>
          <t>A-PM PKNG HIGH_RISK</t>
        </is>
      </c>
      <c r="C232" s="6" t="n"/>
      <c r="D232" s="7">
        <f>SUMIFS($D$7:$D$216,$B$7:$B$216,$B232)</f>
        <v/>
      </c>
      <c r="E232" s="7">
        <f>SUMIFS($E$7:$E$216,$B$7:$B$216,$B232)</f>
        <v/>
      </c>
      <c r="F232" s="7">
        <f>SUMIFS($F$7:$F$216,$B$7:$B$216,$B232)</f>
        <v/>
      </c>
      <c r="G232" s="7">
        <f>SUMIFS($G$7:$G$216,$B$7:$B$216,$B232)</f>
        <v/>
      </c>
      <c r="H232" s="7">
        <f>SUMIFS($H$7:$H$216,$B$7:$B$216,$B232)</f>
        <v/>
      </c>
      <c r="I232" s="6" t="n"/>
      <c r="J232" s="6" t="n"/>
      <c r="K232" s="6" t="n"/>
    </row>
    <row r="233">
      <c r="A233" s="6" t="n"/>
      <c r="B233" s="6" t="inlineStr">
        <is>
          <t>A-RS OFCE</t>
        </is>
      </c>
      <c r="C233" s="6" t="n"/>
      <c r="D233" s="7">
        <f>SUMIFS($D$7:$D$216,$B$7:$B$216,$B233)</f>
        <v/>
      </c>
      <c r="E233" s="7">
        <f>SUMIFS($E$7:$E$216,$B$7:$B$216,$B233)</f>
        <v/>
      </c>
      <c r="F233" s="7">
        <f>SUMIFS($F$7:$F$216,$B$7:$B$216,$B233)</f>
        <v/>
      </c>
      <c r="G233" s="7">
        <f>SUMIFS($G$7:$G$216,$B$7:$B$216,$B233)</f>
        <v/>
      </c>
      <c r="H233" s="7">
        <f>SUMIFS($H$7:$H$216,$B$7:$B$216,$B233)</f>
        <v/>
      </c>
      <c r="I233" s="6" t="n"/>
      <c r="J233" s="6" t="n"/>
      <c r="K233" s="6" t="n"/>
    </row>
    <row r="234">
      <c r="A234" s="6" t="n"/>
      <c r="B234" s="6" t="inlineStr">
        <is>
          <t>A-RS PKNG SLEEVING</t>
        </is>
      </c>
      <c r="C234" s="6" t="n"/>
      <c r="D234" s="7">
        <f>SUMIFS($D$7:$D$216,$B$7:$B$216,$B234)</f>
        <v/>
      </c>
      <c r="E234" s="7">
        <f>SUMIFS($E$7:$E$216,$B$7:$B$216,$B234)</f>
        <v/>
      </c>
      <c r="F234" s="7">
        <f>SUMIFS($F$7:$F$216,$B$7:$B$216,$B234)</f>
        <v/>
      </c>
      <c r="G234" s="7">
        <f>SUMIFS($G$7:$G$216,$B$7:$B$216,$B234)</f>
        <v/>
      </c>
      <c r="H234" s="7">
        <f>SUMIFS($H$7:$H$216,$B$7:$B$216,$B234)</f>
        <v/>
      </c>
      <c r="I234" s="6" t="n"/>
      <c r="J234" s="6" t="n"/>
      <c r="K234" s="6" t="n"/>
    </row>
    <row r="235">
      <c r="A235" s="6" t="n"/>
      <c r="B235" s="6" t="inlineStr">
        <is>
          <t>A-RS PROD BELT</t>
        </is>
      </c>
      <c r="C235" s="6" t="n"/>
      <c r="D235" s="7">
        <f>SUMIFS($D$7:$D$216,$B$7:$B$216,$B235)</f>
        <v/>
      </c>
      <c r="E235" s="7">
        <f>SUMIFS($E$7:$E$216,$B$7:$B$216,$B235)</f>
        <v/>
      </c>
      <c r="F235" s="7">
        <f>SUMIFS($F$7:$F$216,$B$7:$B$216,$B235)</f>
        <v/>
      </c>
      <c r="G235" s="7">
        <f>SUMIFS($G$7:$G$216,$B$7:$B$216,$B235)</f>
        <v/>
      </c>
      <c r="H235" s="7">
        <f>SUMIFS($H$7:$H$216,$B$7:$B$216,$B235)</f>
        <v/>
      </c>
      <c r="I235" s="6" t="n"/>
      <c r="J235" s="6" t="n"/>
      <c r="K235" s="6" t="n"/>
    </row>
    <row r="236">
      <c r="A236" s="6" t="n"/>
      <c r="B236" s="6" t="inlineStr">
        <is>
          <t>CLNR</t>
        </is>
      </c>
      <c r="C236" s="6" t="n"/>
      <c r="D236" s="7">
        <f>SUMIFS($D$7:$D$216,$B$7:$B$216,$B236)</f>
        <v/>
      </c>
      <c r="E236" s="7">
        <f>SUMIFS($E$7:$E$216,$B$7:$B$216,$B236)</f>
        <v/>
      </c>
      <c r="F236" s="7">
        <f>SUMIFS($F$7:$F$216,$B$7:$B$216,$B236)</f>
        <v/>
      </c>
      <c r="G236" s="7">
        <f>SUMIFS($G$7:$G$216,$B$7:$B$216,$B236)</f>
        <v/>
      </c>
      <c r="H236" s="7">
        <f>SUMIFS($H$7:$H$216,$B$7:$B$216,$B236)</f>
        <v/>
      </c>
      <c r="I236" s="6" t="n"/>
      <c r="J236" s="6" t="n"/>
      <c r="K236" s="6" t="n"/>
    </row>
    <row r="237">
      <c r="A237" s="6" t="n"/>
      <c r="B237" s="6" t="inlineStr">
        <is>
          <t>DPCH</t>
        </is>
      </c>
      <c r="C237" s="6" t="n"/>
      <c r="D237" s="7">
        <f>SUMIFS($D$7:$D$216,$B$7:$B$216,$B237)</f>
        <v/>
      </c>
      <c r="E237" s="7">
        <f>SUMIFS($E$7:$E$216,$B$7:$B$216,$B237)</f>
        <v/>
      </c>
      <c r="F237" s="7">
        <f>SUMIFS($F$7:$F$216,$B$7:$B$216,$B237)</f>
        <v/>
      </c>
      <c r="G237" s="7">
        <f>SUMIFS($G$7:$G$216,$B$7:$B$216,$B237)</f>
        <v/>
      </c>
      <c r="H237" s="7">
        <f>SUMIFS($H$7:$H$216,$B$7:$B$216,$B237)</f>
        <v/>
      </c>
      <c r="I237" s="6" t="n"/>
      <c r="J237" s="6" t="n"/>
      <c r="K237" s="6" t="n"/>
    </row>
    <row r="238">
      <c r="A238" s="6" t="n"/>
      <c r="B238" s="6" t="inlineStr">
        <is>
          <t>OFCE</t>
        </is>
      </c>
      <c r="C238" s="6" t="n"/>
      <c r="D238" s="7">
        <f>SUMIFS($D$7:$D$216,$B$7:$B$216,$B238)</f>
        <v/>
      </c>
      <c r="E238" s="7">
        <f>SUMIFS($E$7:$E$216,$B$7:$B$216,$B238)</f>
        <v/>
      </c>
      <c r="F238" s="7">
        <f>SUMIFS($F$7:$F$216,$B$7:$B$216,$B238)</f>
        <v/>
      </c>
      <c r="G238" s="7">
        <f>SUMIFS($G$7:$G$216,$B$7:$B$216,$B238)</f>
        <v/>
      </c>
      <c r="H238" s="7">
        <f>SUMIFS($H$7:$H$216,$B$7:$B$216,$B238)</f>
        <v/>
      </c>
      <c r="I238" s="6" t="n"/>
      <c r="J238" s="6" t="n"/>
      <c r="K238" s="6" t="n"/>
    </row>
    <row r="239">
      <c r="A239" s="6" t="n"/>
      <c r="B239" s="6" t="inlineStr">
        <is>
          <t>PKNG HIGH_RISK</t>
        </is>
      </c>
      <c r="C239" s="6" t="n"/>
      <c r="D239" s="7">
        <f>SUMIFS($D$7:$D$216,$B$7:$B$216,$B239)</f>
        <v/>
      </c>
      <c r="E239" s="7">
        <f>SUMIFS($E$7:$E$216,$B$7:$B$216,$B239)</f>
        <v/>
      </c>
      <c r="F239" s="7">
        <f>SUMIFS($F$7:$F$216,$B$7:$B$216,$B239)</f>
        <v/>
      </c>
      <c r="G239" s="7">
        <f>SUMIFS($G$7:$G$216,$B$7:$B$216,$B239)</f>
        <v/>
      </c>
      <c r="H239" s="7">
        <f>SUMIFS($H$7:$H$216,$B$7:$B$216,$B239)</f>
        <v/>
      </c>
      <c r="I239" s="6" t="n"/>
      <c r="J239" s="6" t="n"/>
      <c r="K239" s="6" t="n"/>
    </row>
    <row r="240">
      <c r="A240" s="6" t="n"/>
      <c r="B240" s="6" t="inlineStr">
        <is>
          <t>PKNG SLEEVING</t>
        </is>
      </c>
      <c r="C240" s="6" t="n"/>
      <c r="D240" s="7">
        <f>SUMIFS($D$7:$D$216,$B$7:$B$216,$B240)</f>
        <v/>
      </c>
      <c r="E240" s="7">
        <f>SUMIFS($E$7:$E$216,$B$7:$B$216,$B240)</f>
        <v/>
      </c>
      <c r="F240" s="7">
        <f>SUMIFS($F$7:$F$216,$B$7:$B$216,$B240)</f>
        <v/>
      </c>
      <c r="G240" s="7">
        <f>SUMIFS($G$7:$G$216,$B$7:$B$216,$B240)</f>
        <v/>
      </c>
      <c r="H240" s="7">
        <f>SUMIFS($H$7:$H$216,$B$7:$B$216,$B240)</f>
        <v/>
      </c>
      <c r="I240" s="6" t="n"/>
      <c r="J240" s="6" t="n"/>
      <c r="K240" s="6" t="n"/>
    </row>
    <row r="241">
      <c r="A241" s="6" t="n"/>
      <c r="B241" s="6" t="inlineStr">
        <is>
          <t>PROD BELT</t>
        </is>
      </c>
      <c r="C241" s="6" t="n"/>
      <c r="D241" s="7">
        <f>SUMIFS($D$7:$D$216,$B$7:$B$216,$B241)</f>
        <v/>
      </c>
      <c r="E241" s="7">
        <f>SUMIFS($E$7:$E$216,$B$7:$B$216,$B241)</f>
        <v/>
      </c>
      <c r="F241" s="7">
        <f>SUMIFS($F$7:$F$216,$B$7:$B$216,$B241)</f>
        <v/>
      </c>
      <c r="G241" s="7">
        <f>SUMIFS($G$7:$G$216,$B$7:$B$216,$B241)</f>
        <v/>
      </c>
      <c r="H241" s="7">
        <f>SUMIFS($H$7:$H$216,$B$7:$B$216,$B241)</f>
        <v/>
      </c>
      <c r="I241" s="6" t="n"/>
      <c r="J241" s="6" t="n"/>
      <c r="K241" s="6" t="n"/>
    </row>
    <row r="242">
      <c r="A242" s="6" t="n"/>
      <c r="B242" s="6" t="inlineStr">
        <is>
          <t>PROD FORMING</t>
        </is>
      </c>
      <c r="C242" s="6" t="n"/>
      <c r="D242" s="7">
        <f>SUMIFS($D$7:$D$216,$B$7:$B$216,$B242)</f>
        <v/>
      </c>
      <c r="E242" s="7">
        <f>SUMIFS($E$7:$E$216,$B$7:$B$216,$B242)</f>
        <v/>
      </c>
      <c r="F242" s="7">
        <f>SUMIFS($F$7:$F$216,$B$7:$B$216,$B242)</f>
        <v/>
      </c>
      <c r="G242" s="7">
        <f>SUMIFS($G$7:$G$216,$B$7:$B$216,$B242)</f>
        <v/>
      </c>
      <c r="H242" s="7">
        <f>SUMIFS($H$7:$H$216,$B$7:$B$216,$B242)</f>
        <v/>
      </c>
      <c r="I242" s="6" t="n"/>
      <c r="J242" s="6" t="n"/>
      <c r="K242" s="6" t="n"/>
    </row>
    <row r="243">
      <c r="A243" s="6" t="n"/>
      <c r="B243" s="6" t="inlineStr">
        <is>
          <t>PROD FRYING</t>
        </is>
      </c>
      <c r="C243" s="6" t="n"/>
      <c r="D243" s="7">
        <f>SUMIFS($D$7:$D$216,$B$7:$B$216,$B243)</f>
        <v/>
      </c>
      <c r="E243" s="7">
        <f>SUMIFS($E$7:$E$216,$B$7:$B$216,$B243)</f>
        <v/>
      </c>
      <c r="F243" s="7">
        <f>SUMIFS($F$7:$F$216,$B$7:$B$216,$B243)</f>
        <v/>
      </c>
      <c r="G243" s="7">
        <f>SUMIFS($G$7:$G$216,$B$7:$B$216,$B243)</f>
        <v/>
      </c>
      <c r="H243" s="7">
        <f>SUMIFS($H$7:$H$216,$B$7:$B$216,$B243)</f>
        <v/>
      </c>
      <c r="I243" s="6" t="n"/>
      <c r="J243" s="6" t="n"/>
      <c r="K243" s="6" t="n"/>
    </row>
    <row r="244">
      <c r="A244" s="6" t="n"/>
      <c r="B244" s="6" t="inlineStr">
        <is>
          <t>PROD PREPARATION</t>
        </is>
      </c>
      <c r="C244" s="6" t="n"/>
      <c r="D244" s="7">
        <f>SUMIFS($D$7:$D$216,$B$7:$B$216,$B244)</f>
        <v/>
      </c>
      <c r="E244" s="7">
        <f>SUMIFS($E$7:$E$216,$B$7:$B$216,$B244)</f>
        <v/>
      </c>
      <c r="F244" s="7">
        <f>SUMIFS($F$7:$F$216,$B$7:$B$216,$B244)</f>
        <v/>
      </c>
      <c r="G244" s="7">
        <f>SUMIFS($G$7:$G$216,$B$7:$B$216,$B244)</f>
        <v/>
      </c>
      <c r="H244" s="7">
        <f>SUMIFS($H$7:$H$216,$B$7:$B$216,$B244)</f>
        <v/>
      </c>
      <c r="I244" s="6" t="n"/>
      <c r="J244" s="6" t="n"/>
      <c r="K244" s="6" t="n"/>
    </row>
    <row r="245">
      <c r="A245" s="6" t="n"/>
      <c r="B245" s="6" t="inlineStr">
        <is>
          <t>PROD TABLE</t>
        </is>
      </c>
      <c r="C245" s="6" t="n"/>
      <c r="D245" s="7">
        <f>SUMIFS($D$7:$D$216,$B$7:$B$216,$B245)</f>
        <v/>
      </c>
      <c r="E245" s="7">
        <f>SUMIFS($E$7:$E$216,$B$7:$B$216,$B245)</f>
        <v/>
      </c>
      <c r="F245" s="7">
        <f>SUMIFS($F$7:$F$216,$B$7:$B$216,$B245)</f>
        <v/>
      </c>
      <c r="G245" s="7">
        <f>SUMIFS($G$7:$G$216,$B$7:$B$216,$B245)</f>
        <v/>
      </c>
      <c r="H245" s="7">
        <f>SUMIFS($H$7:$H$216,$B$7:$B$216,$B245)</f>
        <v/>
      </c>
      <c r="I245" s="6" t="n"/>
      <c r="J245" s="6" t="n"/>
      <c r="K245" s="6" t="n"/>
    </row>
    <row r="246">
      <c r="A246" s="6" t="n"/>
      <c r="B246" s="6" t="inlineStr">
        <is>
          <t>TECH TECHNICAL</t>
        </is>
      </c>
      <c r="C246" s="6" t="n"/>
      <c r="D246" s="7">
        <f>SUMIFS($D$7:$D$216,$B$7:$B$216,$B246)</f>
        <v/>
      </c>
      <c r="E246" s="7">
        <f>SUMIFS($E$7:$E$216,$B$7:$B$216,$B246)</f>
        <v/>
      </c>
      <c r="F246" s="7">
        <f>SUMIFS($F$7:$F$216,$B$7:$B$216,$B246)</f>
        <v/>
      </c>
      <c r="G246" s="7">
        <f>SUMIFS($G$7:$G$216,$B$7:$B$216,$B246)</f>
        <v/>
      </c>
      <c r="H246" s="7">
        <f>SUMIFS($H$7:$H$216,$B$7:$B$216,$B246)</f>
        <v/>
      </c>
      <c r="I246" s="6" t="n"/>
      <c r="J246" s="6" t="n"/>
      <c r="K246" s="6" t="n"/>
    </row>
    <row r="247">
      <c r="A247" s="6" t="n"/>
      <c r="B247" s="6" t="inlineStr">
        <is>
          <t>WRHS</t>
        </is>
      </c>
      <c r="C247" s="6" t="n"/>
      <c r="D247" s="7">
        <f>SUMIFS($D$7:$D$216,$B$7:$B$216,$B247)</f>
        <v/>
      </c>
      <c r="E247" s="7">
        <f>SUMIFS($E$7:$E$216,$B$7:$B$216,$B247)</f>
        <v/>
      </c>
      <c r="F247" s="7">
        <f>SUMIFS($F$7:$F$216,$B$7:$B$216,$B247)</f>
        <v/>
      </c>
      <c r="G247" s="7">
        <f>SUMIFS($G$7:$G$216,$B$7:$B$216,$B247)</f>
        <v/>
      </c>
      <c r="H247" s="7">
        <f>SUMIFS($H$7:$H$216,$B$7:$B$216,$B247)</f>
        <v/>
      </c>
      <c r="I247" s="6" t="n"/>
      <c r="J247" s="6" t="n"/>
      <c r="K247" s="6" t="n"/>
    </row>
    <row r="249">
      <c r="A249" s="3" t="inlineStr">
        <is>
          <t>Grouped totals (month)</t>
        </is>
      </c>
    </row>
    <row r="250">
      <c r="A250" s="4" t="inlineStr">
        <is>
          <t>Categories rolled up to 4-character groups across all weeks.</t>
        </is>
      </c>
    </row>
    <row r="251">
      <c r="A251" s="5" t="n"/>
      <c r="B251" s="5" t="inlineStr">
        <is>
          <t>Category</t>
        </is>
      </c>
      <c r="C251" s="5" t="n"/>
      <c r="D251" s="5" t="inlineStr">
        <is>
          <t>Basic hours</t>
        </is>
      </c>
      <c r="E251" s="5" t="inlineStr">
        <is>
          <t>Mon–Fri overtime</t>
        </is>
      </c>
      <c r="F251" s="5" t="inlineStr">
        <is>
          <t>Sat/Sun overtime</t>
        </is>
      </c>
      <c r="G251" s="5" t="inlineStr">
        <is>
          <t>Annual holiday</t>
        </is>
      </c>
      <c r="H251" s="5" t="inlineStr">
        <is>
          <t>Total paid hours</t>
        </is>
      </c>
      <c r="I251" s="5" t="n"/>
      <c r="J251" s="5" t="n"/>
      <c r="K251" s="5" t="n"/>
    </row>
    <row r="252">
      <c r="A252" s="6" t="n"/>
      <c r="B252" s="6" t="inlineStr">
        <is>
          <t>A-EL CLNR</t>
        </is>
      </c>
      <c r="C252" s="6" t="n"/>
      <c r="D252" s="7" t="n">
        <v>808.5</v>
      </c>
      <c r="E252" s="7" t="n">
        <v>54</v>
      </c>
      <c r="F252" s="7" t="n">
        <v>9.75</v>
      </c>
      <c r="G252" s="7" t="n">
        <v>0</v>
      </c>
      <c r="H252" s="7" t="n">
        <v>872.25</v>
      </c>
      <c r="I252" s="6" t="n"/>
      <c r="J252" s="6" t="n"/>
      <c r="K252" s="6" t="n"/>
    </row>
    <row r="253">
      <c r="A253" s="6" t="n"/>
      <c r="B253" s="6" t="inlineStr">
        <is>
          <t>A-EL DPCH</t>
        </is>
      </c>
      <c r="C253" s="6" t="n"/>
      <c r="D253" s="7" t="n">
        <v>70.25</v>
      </c>
      <c r="E253" s="7" t="n">
        <v>6.25</v>
      </c>
      <c r="F253" s="7" t="n">
        <v>0</v>
      </c>
      <c r="G253" s="7" t="n">
        <v>0</v>
      </c>
      <c r="H253" s="7" t="n">
        <v>76.5</v>
      </c>
      <c r="I253" s="6" t="n"/>
      <c r="J253" s="6" t="n"/>
      <c r="K253" s="6" t="n"/>
    </row>
    <row r="254">
      <c r="A254" s="6" t="n"/>
      <c r="B254" s="6" t="inlineStr">
        <is>
          <t>A-EL OFCE</t>
        </is>
      </c>
      <c r="C254" s="6" t="n"/>
      <c r="D254" s="7" t="n">
        <v>151.25</v>
      </c>
      <c r="E254" s="7" t="n">
        <v>0</v>
      </c>
      <c r="F254" s="7" t="n">
        <v>0</v>
      </c>
      <c r="G254" s="7" t="n">
        <v>0</v>
      </c>
      <c r="H254" s="7" t="n">
        <v>151.25</v>
      </c>
      <c r="I254" s="6" t="n"/>
      <c r="J254" s="6" t="n"/>
      <c r="K254" s="6" t="n"/>
    </row>
    <row r="255">
      <c r="A255" s="6" t="n"/>
      <c r="B255" s="6" t="inlineStr">
        <is>
          <t>A-EL PKNG</t>
        </is>
      </c>
      <c r="C255" s="6" t="n"/>
      <c r="D255" s="7" t="n">
        <v>2147.25</v>
      </c>
      <c r="E255" s="7" t="n">
        <v>39</v>
      </c>
      <c r="F255" s="7" t="n">
        <v>0</v>
      </c>
      <c r="G255" s="7" t="n">
        <v>0</v>
      </c>
      <c r="H255" s="7" t="n">
        <v>2186.25</v>
      </c>
      <c r="I255" s="6" t="n"/>
      <c r="J255" s="6" t="n"/>
      <c r="K255" s="6" t="n"/>
    </row>
    <row r="256">
      <c r="A256" s="6" t="n"/>
      <c r="B256" s="6" t="inlineStr">
        <is>
          <t>A-EL PROD</t>
        </is>
      </c>
      <c r="C256" s="6" t="n"/>
      <c r="D256" s="7" t="n">
        <v>3463.75</v>
      </c>
      <c r="E256" s="7" t="n">
        <v>117.25</v>
      </c>
      <c r="F256" s="7" t="n">
        <v>3.25</v>
      </c>
      <c r="G256" s="7" t="n">
        <v>0</v>
      </c>
      <c r="H256" s="7" t="n">
        <v>3584.25</v>
      </c>
      <c r="I256" s="6" t="n"/>
      <c r="J256" s="6" t="n"/>
      <c r="K256" s="6" t="n"/>
    </row>
    <row r="257">
      <c r="A257" s="6" t="n"/>
      <c r="B257" s="6" t="inlineStr">
        <is>
          <t>A-EL TECH</t>
        </is>
      </c>
      <c r="C257" s="6" t="n"/>
      <c r="D257" s="7" t="n">
        <v>259.5</v>
      </c>
      <c r="E257" s="7" t="n">
        <v>0</v>
      </c>
      <c r="F257" s="7" t="n">
        <v>0</v>
      </c>
      <c r="G257" s="7" t="n">
        <v>0</v>
      </c>
      <c r="H257" s="7" t="n">
        <v>259.5</v>
      </c>
      <c r="I257" s="6" t="n"/>
      <c r="J257" s="6" t="n"/>
      <c r="K257" s="6" t="n"/>
    </row>
    <row r="258">
      <c r="A258" s="6" t="n"/>
      <c r="B258" s="6" t="inlineStr">
        <is>
          <t>A-EL WRHS</t>
        </is>
      </c>
      <c r="C258" s="6" t="n"/>
      <c r="D258" s="7" t="n">
        <v>139.5</v>
      </c>
      <c r="E258" s="7" t="n">
        <v>12</v>
      </c>
      <c r="F258" s="7" t="n">
        <v>0</v>
      </c>
      <c r="G258" s="7" t="n">
        <v>0</v>
      </c>
      <c r="H258" s="7" t="n">
        <v>151.5</v>
      </c>
      <c r="I258" s="6" t="n"/>
      <c r="J258" s="6" t="n"/>
      <c r="K258" s="6" t="n"/>
    </row>
    <row r="259">
      <c r="A259" s="6" t="n"/>
      <c r="B259" s="6" t="inlineStr">
        <is>
          <t>A-PM PKNG</t>
        </is>
      </c>
      <c r="C259" s="6" t="n"/>
      <c r="D259" s="7" t="n">
        <v>98.5</v>
      </c>
      <c r="E259" s="7" t="n">
        <v>0</v>
      </c>
      <c r="F259" s="7" t="n">
        <v>0</v>
      </c>
      <c r="G259" s="7" t="n">
        <v>0</v>
      </c>
      <c r="H259" s="7" t="n">
        <v>98.5</v>
      </c>
      <c r="I259" s="6" t="n"/>
      <c r="J259" s="6" t="n"/>
      <c r="K259" s="6" t="n"/>
    </row>
    <row r="260">
      <c r="A260" s="6" t="n"/>
      <c r="B260" s="6" t="inlineStr">
        <is>
          <t>A-RS OFCE</t>
        </is>
      </c>
      <c r="C260" s="6" t="n"/>
      <c r="D260" s="7" t="n">
        <v>134.25</v>
      </c>
      <c r="E260" s="7" t="n">
        <v>31</v>
      </c>
      <c r="F260" s="7" t="n">
        <v>0</v>
      </c>
      <c r="G260" s="7" t="n">
        <v>0</v>
      </c>
      <c r="H260" s="7" t="n">
        <v>165.25</v>
      </c>
      <c r="I260" s="6" t="n"/>
      <c r="J260" s="6" t="n"/>
      <c r="K260" s="6" t="n"/>
    </row>
    <row r="261">
      <c r="A261" s="6" t="n"/>
      <c r="B261" s="6" t="inlineStr">
        <is>
          <t>A-RS PKNG</t>
        </is>
      </c>
      <c r="C261" s="6" t="n"/>
      <c r="D261" s="7" t="n">
        <v>126</v>
      </c>
      <c r="E261" s="7" t="n">
        <v>0</v>
      </c>
      <c r="F261" s="7" t="n">
        <v>0</v>
      </c>
      <c r="G261" s="7" t="n">
        <v>0</v>
      </c>
      <c r="H261" s="7" t="n">
        <v>126</v>
      </c>
      <c r="I261" s="6" t="n"/>
      <c r="J261" s="6" t="n"/>
      <c r="K261" s="6" t="n"/>
    </row>
    <row r="262">
      <c r="A262" s="6" t="n"/>
      <c r="B262" s="6" t="inlineStr">
        <is>
          <t>A-RS PROD</t>
        </is>
      </c>
      <c r="C262" s="6" t="n"/>
      <c r="D262" s="7" t="n">
        <v>197</v>
      </c>
      <c r="E262" s="7" t="n">
        <v>8.5</v>
      </c>
      <c r="F262" s="7" t="n">
        <v>0</v>
      </c>
      <c r="G262" s="7" t="n">
        <v>0</v>
      </c>
      <c r="H262" s="7" t="n">
        <v>205.5</v>
      </c>
      <c r="I262" s="6" t="n"/>
      <c r="J262" s="6" t="n"/>
      <c r="K262" s="6" t="n"/>
    </row>
    <row r="263">
      <c r="A263" s="6" t="n"/>
      <c r="B263" s="6" t="inlineStr">
        <is>
          <t>CLNR</t>
        </is>
      </c>
      <c r="C263" s="6" t="n"/>
      <c r="D263" s="7" t="n">
        <v>738.25</v>
      </c>
      <c r="E263" s="7" t="n">
        <v>104.75</v>
      </c>
      <c r="F263" s="7" t="n">
        <v>40.25</v>
      </c>
      <c r="G263" s="7" t="n">
        <v>48</v>
      </c>
      <c r="H263" s="7" t="n">
        <v>931.25</v>
      </c>
      <c r="I263" s="6" t="n"/>
      <c r="J263" s="6" t="n"/>
      <c r="K263" s="6" t="n"/>
    </row>
    <row r="264">
      <c r="A264" s="6" t="n"/>
      <c r="B264" s="6" t="inlineStr">
        <is>
          <t>DPCH</t>
        </is>
      </c>
      <c r="C264" s="6" t="n"/>
      <c r="D264" s="7" t="n">
        <v>157</v>
      </c>
      <c r="E264" s="7" t="n">
        <v>103</v>
      </c>
      <c r="F264" s="7" t="n">
        <v>0</v>
      </c>
      <c r="G264" s="7" t="n">
        <v>8</v>
      </c>
      <c r="H264" s="7" t="n">
        <v>268</v>
      </c>
      <c r="I264" s="6" t="n"/>
      <c r="J264" s="6" t="n"/>
      <c r="K264" s="6" t="n"/>
    </row>
    <row r="265">
      <c r="A265" s="6" t="n"/>
      <c r="B265" s="6" t="inlineStr">
        <is>
          <t>OFCE</t>
        </is>
      </c>
      <c r="C265" s="6" t="n"/>
      <c r="D265" s="7" t="n">
        <v>1651.5</v>
      </c>
      <c r="E265" s="7" t="n">
        <v>172.75</v>
      </c>
      <c r="F265" s="7" t="n">
        <v>0</v>
      </c>
      <c r="G265" s="7" t="n">
        <v>136</v>
      </c>
      <c r="H265" s="7" t="n">
        <v>1960.25</v>
      </c>
      <c r="I265" s="6" t="n"/>
      <c r="J265" s="6" t="n"/>
      <c r="K265" s="6" t="n"/>
    </row>
    <row r="266">
      <c r="A266" s="6" t="n"/>
      <c r="B266" s="6" t="inlineStr">
        <is>
          <t>PKNG</t>
        </is>
      </c>
      <c r="C266" s="6" t="n"/>
      <c r="D266" s="7" t="n">
        <v>2943</v>
      </c>
      <c r="E266" s="7" t="n">
        <v>297.25</v>
      </c>
      <c r="F266" s="7" t="n">
        <v>0</v>
      </c>
      <c r="G266" s="7" t="n">
        <v>312</v>
      </c>
      <c r="H266" s="7" t="n">
        <v>3552.25</v>
      </c>
      <c r="I266" s="6" t="n"/>
      <c r="J266" s="6" t="n"/>
      <c r="K266" s="6" t="n"/>
    </row>
    <row r="267">
      <c r="A267" s="6" t="n"/>
      <c r="B267" s="6" t="inlineStr">
        <is>
          <t>PROD</t>
        </is>
      </c>
      <c r="C267" s="6" t="n"/>
      <c r="D267" s="7" t="n">
        <v>5198</v>
      </c>
      <c r="E267" s="7" t="n">
        <v>270</v>
      </c>
      <c r="F267" s="7" t="n">
        <v>6.75</v>
      </c>
      <c r="G267" s="7" t="n">
        <v>424</v>
      </c>
      <c r="H267" s="7" t="n">
        <v>5898.75</v>
      </c>
      <c r="I267" s="6" t="n"/>
      <c r="J267" s="6" t="n"/>
      <c r="K267" s="6" t="n"/>
    </row>
    <row r="268">
      <c r="A268" s="6" t="n"/>
      <c r="B268" s="6" t="inlineStr">
        <is>
          <t>TECH</t>
        </is>
      </c>
      <c r="C268" s="6" t="n"/>
      <c r="D268" s="7" t="n">
        <v>670.75</v>
      </c>
      <c r="E268" s="7" t="n">
        <v>53.5</v>
      </c>
      <c r="F268" s="7" t="n">
        <v>0</v>
      </c>
      <c r="G268" s="7" t="n">
        <v>88</v>
      </c>
      <c r="H268" s="7" t="n">
        <v>812.25</v>
      </c>
      <c r="I268" s="6" t="n"/>
      <c r="J268" s="6" t="n"/>
      <c r="K268" s="6" t="n"/>
    </row>
    <row r="269">
      <c r="A269" s="6" t="n"/>
      <c r="B269" s="6" t="inlineStr">
        <is>
          <t>WRHS</t>
        </is>
      </c>
      <c r="C269" s="6" t="n"/>
      <c r="D269" s="7" t="n">
        <v>553</v>
      </c>
      <c r="E269" s="7" t="n">
        <v>52.5</v>
      </c>
      <c r="F269" s="7" t="n">
        <v>30.75</v>
      </c>
      <c r="G269" s="7" t="n">
        <v>32</v>
      </c>
      <c r="H269" s="7" t="n">
        <v>668.25</v>
      </c>
      <c r="I269" s="6" t="n"/>
      <c r="J269" s="6" t="n"/>
      <c r="K269" s="6" t="n"/>
    </row>
    <row r="271">
      <c r="A271" s="3" t="inlineStr">
        <is>
          <t>Category breakdown (overall)</t>
        </is>
      </c>
    </row>
    <row r="272">
      <c r="A272" s="4" t="inlineStr">
        <is>
          <t>Month total by department — Gazebo and agency combined (PROD, PACK, WRHS, CLNR, TECH, OFFICE).</t>
        </is>
      </c>
    </row>
    <row r="273">
      <c r="A273" s="5" t="n"/>
      <c r="B273" s="5" t="inlineStr">
        <is>
          <t>Category</t>
        </is>
      </c>
      <c r="C273" s="5" t="n"/>
      <c r="D273" s="5" t="inlineStr">
        <is>
          <t>Basic hours</t>
        </is>
      </c>
      <c r="E273" s="5" t="inlineStr">
        <is>
          <t>Mon–Fri overtime</t>
        </is>
      </c>
      <c r="F273" s="5" t="inlineStr">
        <is>
          <t>Sat/Sun overtime</t>
        </is>
      </c>
      <c r="G273" s="5" t="inlineStr">
        <is>
          <t>Annual holiday</t>
        </is>
      </c>
      <c r="H273" s="5" t="inlineStr">
        <is>
          <t>Total paid hours</t>
        </is>
      </c>
      <c r="I273" s="5" t="n"/>
      <c r="J273" s="5" t="n"/>
      <c r="K273" s="5" t="n"/>
    </row>
    <row r="274">
      <c r="A274" s="6" t="n"/>
      <c r="B274" s="6" t="inlineStr">
        <is>
          <t>PROD</t>
        </is>
      </c>
      <c r="C274" s="6" t="n"/>
      <c r="D274" s="7" t="n">
        <v>8858.75</v>
      </c>
      <c r="E274" s="7" t="n">
        <v>395.75</v>
      </c>
      <c r="F274" s="7" t="n">
        <v>10</v>
      </c>
      <c r="G274" s="7" t="n">
        <v>424</v>
      </c>
      <c r="H274" s="7" t="n">
        <v>9688.5</v>
      </c>
      <c r="I274" s="6" t="n"/>
      <c r="J274" s="6" t="n"/>
      <c r="K274" s="6" t="n"/>
    </row>
    <row r="275">
      <c r="A275" s="6" t="n"/>
      <c r="B275" s="6" t="inlineStr">
        <is>
          <t>PACK</t>
        </is>
      </c>
      <c r="C275" s="6" t="n"/>
      <c r="D275" s="7" t="n">
        <v>5542</v>
      </c>
      <c r="E275" s="7" t="n">
        <v>445.5</v>
      </c>
      <c r="F275" s="7" t="n">
        <v>0</v>
      </c>
      <c r="G275" s="7" t="n">
        <v>320</v>
      </c>
      <c r="H275" s="7" t="n">
        <v>6307.5</v>
      </c>
      <c r="I275" s="6" t="n"/>
      <c r="J275" s="6" t="n"/>
      <c r="K275" s="6" t="n"/>
    </row>
    <row r="276">
      <c r="A276" s="6" t="n"/>
      <c r="B276" s="6" t="inlineStr">
        <is>
          <t>WRHS</t>
        </is>
      </c>
      <c r="C276" s="6" t="n"/>
      <c r="D276" s="7" t="n">
        <v>692.5</v>
      </c>
      <c r="E276" s="7" t="n">
        <v>64.5</v>
      </c>
      <c r="F276" s="7" t="n">
        <v>30.75</v>
      </c>
      <c r="G276" s="7" t="n">
        <v>32</v>
      </c>
      <c r="H276" s="7" t="n">
        <v>819.75</v>
      </c>
      <c r="I276" s="6" t="n"/>
      <c r="J276" s="6" t="n"/>
      <c r="K276" s="6" t="n"/>
    </row>
    <row r="277">
      <c r="A277" s="6" t="n"/>
      <c r="B277" s="6" t="inlineStr">
        <is>
          <t>CLNR</t>
        </is>
      </c>
      <c r="C277" s="6" t="n"/>
      <c r="D277" s="7" t="n">
        <v>1546.75</v>
      </c>
      <c r="E277" s="7" t="n">
        <v>158.75</v>
      </c>
      <c r="F277" s="7" t="n">
        <v>50</v>
      </c>
      <c r="G277" s="7" t="n">
        <v>48</v>
      </c>
      <c r="H277" s="7" t="n">
        <v>1803.5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7" t="n">
        <v>930.25</v>
      </c>
      <c r="E278" s="7" t="n">
        <v>53.5</v>
      </c>
      <c r="F278" s="7" t="n">
        <v>0</v>
      </c>
      <c r="G278" s="7" t="n">
        <v>88</v>
      </c>
      <c r="H278" s="7" t="n">
        <v>1071.75</v>
      </c>
      <c r="I278" s="6" t="n"/>
      <c r="J278" s="6" t="n"/>
      <c r="K278" s="6" t="n"/>
    </row>
    <row r="279">
      <c r="A279" s="6" t="n"/>
      <c r="B279" s="6" t="inlineStr">
        <is>
          <t>OFFICE</t>
        </is>
      </c>
      <c r="C279" s="6" t="n"/>
      <c r="D279" s="7" t="n">
        <v>1937</v>
      </c>
      <c r="E279" s="7" t="n">
        <v>203.75</v>
      </c>
      <c r="F279" s="7" t="n">
        <v>0</v>
      </c>
      <c r="G279" s="7" t="n">
        <v>136</v>
      </c>
      <c r="H279" s="7" t="n">
        <v>2276.75</v>
      </c>
      <c r="I279" s="6" t="n"/>
      <c r="J279" s="6" t="n"/>
      <c r="K279" s="6" t="n"/>
    </row>
    <row r="281">
      <c r="A281" s="3" t="inlineStr">
        <is>
          <t>Month total — Gazebo vs agency</t>
        </is>
      </c>
    </row>
    <row r="282">
      <c r="A282" s="4" t="inlineStr">
        <is>
          <t>Sum of weekly EMP/AGENCY/TOTAL rows across all uploaded weeks.</t>
        </is>
      </c>
    </row>
    <row r="283"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B284" s="6" t="inlineStr">
        <is>
          <t>MONTHLY</t>
        </is>
      </c>
      <c r="C284" s="6" t="inlineStr">
        <is>
          <t>EMP</t>
        </is>
      </c>
      <c r="D284" s="7">
        <f>'Week1'!D278+'Week2'!D294+'Week3'!D294+'Week4'!D294</f>
        <v/>
      </c>
      <c r="E284" s="7">
        <f>'Week1'!E278+'Week2'!E294+'Week3'!E294+'Week4'!E294</f>
        <v/>
      </c>
      <c r="F284" s="7">
        <f>'Week1'!F278+'Week2'!F294+'Week3'!F294+'Week4'!F294</f>
        <v/>
      </c>
      <c r="G284" s="7">
        <f>'Week1'!G278+'Week2'!G294+'Week3'!G294+'Week4'!G294</f>
        <v/>
      </c>
      <c r="H284" s="7">
        <f>'Week1'!H278+'Week2'!H294+'Week3'!H294+'Week4'!H294</f>
        <v/>
      </c>
      <c r="I284" s="6" t="n"/>
      <c r="J284" s="6" t="n"/>
      <c r="K284" s="6" t="n"/>
    </row>
    <row r="285">
      <c r="B285" s="6" t="n"/>
      <c r="C285" s="6" t="inlineStr">
        <is>
          <t>AGENCY</t>
        </is>
      </c>
      <c r="D285" s="7">
        <f>'Week1'!D279+'Week2'!D295+'Week3'!D295+'Week4'!D295</f>
        <v/>
      </c>
      <c r="E285" s="7">
        <f>'Week1'!E279+'Week2'!E295+'Week3'!E295+'Week4'!E295</f>
        <v/>
      </c>
      <c r="F285" s="7">
        <f>'Week1'!F279+'Week2'!F295+'Week3'!F295+'Week4'!F295</f>
        <v/>
      </c>
      <c r="G285" s="7">
        <f>'Week1'!G279+'Week2'!G295+'Week3'!G295+'Week4'!G295</f>
        <v/>
      </c>
      <c r="H285" s="7">
        <f>'Week1'!H279+'Week2'!H295+'Week3'!H295+'Week4'!H295</f>
        <v/>
      </c>
      <c r="I285" s="6" t="n"/>
      <c r="J285" s="6" t="n"/>
      <c r="K285" s="6" t="n"/>
    </row>
    <row r="286">
      <c r="B286" s="6" t="n"/>
      <c r="C286" s="6" t="inlineStr">
        <is>
          <t>TOTAL</t>
        </is>
      </c>
      <c r="D286" s="7">
        <f>'Week1'!D280+'Week2'!D296+'Week3'!D296+'Week4'!D296</f>
        <v/>
      </c>
      <c r="E286" s="7">
        <f>'Week1'!E280+'Week2'!E296+'Week3'!E296+'Week4'!E296</f>
        <v/>
      </c>
      <c r="F286" s="7">
        <f>'Week1'!F280+'Week2'!F296+'Week3'!F296+'Week4'!F296</f>
        <v/>
      </c>
      <c r="G286" s="7">
        <f>'Week1'!G280+'Week2'!G296+'Week3'!G296+'Week4'!G296</f>
        <v/>
      </c>
      <c r="H286" s="7">
        <f>'Week1'!H280+'Week2'!H296+'Week3'!H296+'Week4'!H296</f>
        <v/>
      </c>
      <c r="I286" s="6" t="n"/>
      <c r="J286" s="6" t="n"/>
      <c r="K286" s="6" t="n"/>
    </row>
    <row r="288">
      <c r="A288" s="3" t="inlineStr">
        <is>
          <t>Month total — additional holiday pay</t>
        </is>
      </c>
    </row>
    <row r="289">
      <c r="A289" s="4" t="inlineStr">
        <is>
          <t>Sum of weekly extra hours and additional holiday pay (EMP / AGENCY / TOTAL).</t>
        </is>
      </c>
    </row>
    <row r="290">
      <c r="B290" s="5" t="inlineStr">
        <is>
          <t>Category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inlineStr">
        <is>
          <t>Extra hours</t>
        </is>
      </c>
      <c r="K290" s="5" t="inlineStr">
        <is>
          <t>Additional holiday pay</t>
        </is>
      </c>
    </row>
    <row r="291">
      <c r="B291" s="6" t="inlineStr">
        <is>
          <t>MONTHLY</t>
        </is>
      </c>
      <c r="C291" s="6" t="inlineStr">
        <is>
          <t>EMP</t>
        </is>
      </c>
      <c r="D291" s="6" t="n"/>
      <c r="E291" s="6" t="n"/>
      <c r="F291" s="6" t="n"/>
      <c r="G291" s="6" t="n"/>
      <c r="H291" s="6" t="n"/>
      <c r="I291" s="6" t="n"/>
      <c r="J291" s="7">
        <f>'Week1'!J285+'Week2'!J301+'Week3'!J301+'Week4'!J301</f>
        <v/>
      </c>
      <c r="K291" s="7">
        <f>'Week1'!K285+'Week2'!K301+'Week3'!K301+'Week4'!K301</f>
        <v/>
      </c>
    </row>
    <row r="292">
      <c r="B292" s="6" t="n"/>
      <c r="C292" s="6" t="inlineStr">
        <is>
          <t>AGENCY</t>
        </is>
      </c>
      <c r="D292" s="6" t="n"/>
      <c r="E292" s="6" t="n"/>
      <c r="F292" s="6" t="n"/>
      <c r="G292" s="6" t="n"/>
      <c r="H292" s="6" t="n"/>
      <c r="I292" s="6" t="n"/>
      <c r="J292" s="7">
        <f>'Week1'!J286+'Week2'!J302+'Week3'!J302+'Week4'!J302</f>
        <v/>
      </c>
      <c r="K292" s="7">
        <f>'Week1'!K286+'Week2'!K302+'Week3'!K302+'Week4'!K302</f>
        <v/>
      </c>
    </row>
    <row r="293">
      <c r="B293" s="6" t="n"/>
      <c r="C293" s="6" t="inlineStr">
        <is>
          <t>TOTAL</t>
        </is>
      </c>
      <c r="D293" s="6" t="n"/>
      <c r="E293" s="6" t="n"/>
      <c r="F293" s="6" t="n"/>
      <c r="G293" s="6" t="n"/>
      <c r="H293" s="6" t="n"/>
      <c r="I293" s="6" t="n"/>
      <c r="J293" s="7">
        <f>'Week1'!J287+'Week2'!J303+'Week3'!J303+'Week4'!J303</f>
        <v/>
      </c>
      <c r="K293" s="7">
        <f>'Week1'!K287+'Week2'!K303+'Week3'!K303+'Week4'!K303</f>
        <v/>
      </c>
    </row>
    <row r="295">
      <c r="A295" s="3" t="inlineStr">
        <is>
          <t>Per-week Gazebo vs agency</t>
        </is>
      </c>
    </row>
    <row r="296">
      <c r="A296" s="4" t="inlineStr">
        <is>
          <t>Each row references the matching EMP/AGENCY/TOTAL cells on the Week sheet.</t>
        </is>
      </c>
    </row>
    <row r="297">
      <c r="B297" s="5" t="inlineStr">
        <is>
          <t>Category</t>
        </is>
      </c>
      <c r="C297" s="5" t="n"/>
      <c r="D297" s="5" t="inlineStr">
        <is>
          <t>Basic hours</t>
        </is>
      </c>
      <c r="E297" s="5" t="inlineStr">
        <is>
          <t>Mon–Fri overtime</t>
        </is>
      </c>
      <c r="F297" s="5" t="inlineStr">
        <is>
          <t>Sat/Sun overtime</t>
        </is>
      </c>
      <c r="G297" s="5" t="inlineStr">
        <is>
          <t>Annual holiday</t>
        </is>
      </c>
      <c r="H297" s="5" t="inlineStr">
        <is>
          <t>Total paid hours</t>
        </is>
      </c>
      <c r="I297" s="5" t="n"/>
      <c r="J297" s="5" t="inlineStr">
        <is>
          <t>Extra hours</t>
        </is>
      </c>
      <c r="K297" s="5" t="inlineStr">
        <is>
          <t>Additional holiday pay</t>
        </is>
      </c>
    </row>
    <row r="298">
      <c r="B298" s="6" t="inlineStr">
        <is>
          <t>Weekly</t>
        </is>
      </c>
      <c r="C298" s="6" t="inlineStr">
        <is>
          <t>EMP</t>
        </is>
      </c>
      <c r="D298" s="7">
        <f>'Week1'!D278</f>
        <v/>
      </c>
      <c r="E298" s="7">
        <f>'Week1'!E278</f>
        <v/>
      </c>
      <c r="F298" s="7">
        <f>'Week1'!F278</f>
        <v/>
      </c>
      <c r="G298" s="7">
        <f>'Week1'!G278</f>
        <v/>
      </c>
      <c r="H298" s="7">
        <f>'Week1'!H278</f>
        <v/>
      </c>
      <c r="I298" s="6" t="n"/>
      <c r="J298" s="7">
        <f>SUM($J$7:$J$216)-J299</f>
        <v/>
      </c>
      <c r="K298" s="7">
        <f>SUM($K$7:$K$216)-K299</f>
        <v/>
      </c>
    </row>
    <row r="299">
      <c r="B299" s="6" t="n"/>
      <c r="C299" s="6" t="inlineStr">
        <is>
          <t>AGENCY</t>
        </is>
      </c>
      <c r="D299" s="7">
        <f>'Week1'!D279</f>
        <v/>
      </c>
      <c r="E299" s="7">
        <f>'Week1'!E279</f>
        <v/>
      </c>
      <c r="F299" s="7">
        <f>'Week1'!F279</f>
        <v/>
      </c>
      <c r="G299" s="7">
        <f>'Week1'!G279</f>
        <v/>
      </c>
      <c r="H299" s="7">
        <f>'Week1'!H279</f>
        <v/>
      </c>
      <c r="I299" s="6" t="n"/>
      <c r="J299" s="7">
        <f>SUMPRODUCT((LEFT($B$7:$B$216,2)="A-")*($J$7:$J$216))</f>
        <v/>
      </c>
      <c r="K299" s="7">
        <f>SUMPRODUCT((LEFT($B$7:$B$216,2)="A-")*($K$7:$K$216))</f>
        <v/>
      </c>
    </row>
    <row r="300">
      <c r="B300" s="6" t="n"/>
      <c r="C300" s="6" t="inlineStr">
        <is>
          <t>TOTAL</t>
        </is>
      </c>
      <c r="D300" s="7">
        <f>'Week1'!D280</f>
        <v/>
      </c>
      <c r="E300" s="7">
        <f>'Week1'!E280</f>
        <v/>
      </c>
      <c r="F300" s="7">
        <f>'Week1'!F280</f>
        <v/>
      </c>
      <c r="G300" s="7">
        <f>'Week1'!G280</f>
        <v/>
      </c>
      <c r="H300" s="7">
        <f>'Week1'!H280</f>
        <v/>
      </c>
      <c r="I300" s="6" t="n"/>
      <c r="J300" s="7">
        <f>J298+J299</f>
        <v/>
      </c>
      <c r="K300" s="7">
        <f>K298+K299</f>
        <v/>
      </c>
    </row>
    <row r="302">
      <c r="B302" s="5" t="inlineStr">
        <is>
          <t>Category</t>
        </is>
      </c>
      <c r="C302" s="5" t="n"/>
      <c r="D302" s="5" t="inlineStr">
        <is>
          <t>Basic hours</t>
        </is>
      </c>
      <c r="E302" s="5" t="inlineStr">
        <is>
          <t>Mon–Fri overtime</t>
        </is>
      </c>
      <c r="F302" s="5" t="inlineStr">
        <is>
          <t>Sat/Sun overtime</t>
        </is>
      </c>
      <c r="G302" s="5" t="inlineStr">
        <is>
          <t>Annual holiday</t>
        </is>
      </c>
      <c r="H302" s="5" t="inlineStr">
        <is>
          <t>Total paid hours</t>
        </is>
      </c>
      <c r="I302" s="5" t="n"/>
      <c r="J302" s="5" t="n"/>
      <c r="K302" s="5" t="n"/>
    </row>
    <row r="303">
      <c r="B303" s="6" t="n"/>
      <c r="C303" s="6" t="inlineStr">
        <is>
          <t>EMP</t>
        </is>
      </c>
      <c r="D303" s="7">
        <f>'Week2'!D294</f>
        <v/>
      </c>
      <c r="E303" s="7">
        <f>'Week2'!E294</f>
        <v/>
      </c>
      <c r="F303" s="7">
        <f>'Week2'!F294</f>
        <v/>
      </c>
      <c r="G303" s="7">
        <f>'Week2'!G294</f>
        <v/>
      </c>
      <c r="H303" s="7">
        <f>'Week2'!H294</f>
        <v/>
      </c>
      <c r="I303" s="6" t="n"/>
      <c r="J303" s="6" t="n"/>
      <c r="K303" s="6" t="n"/>
    </row>
    <row r="304">
      <c r="B304" s="6" t="n"/>
      <c r="C304" s="6" t="inlineStr">
        <is>
          <t>AGENCY</t>
        </is>
      </c>
      <c r="D304" s="7">
        <f>'Week2'!D295</f>
        <v/>
      </c>
      <c r="E304" s="7">
        <f>'Week2'!E295</f>
        <v/>
      </c>
      <c r="F304" s="7">
        <f>'Week2'!F295</f>
        <v/>
      </c>
      <c r="G304" s="7">
        <f>'Week2'!G295</f>
        <v/>
      </c>
      <c r="H304" s="7">
        <f>'Week2'!H295</f>
        <v/>
      </c>
      <c r="I304" s="6" t="n"/>
      <c r="J304" s="6" t="n"/>
      <c r="K304" s="6" t="n"/>
    </row>
    <row r="305">
      <c r="B305" s="6" t="n"/>
      <c r="C305" s="6" t="inlineStr">
        <is>
          <t>TOTAL</t>
        </is>
      </c>
      <c r="D305" s="7">
        <f>'Week2'!D296</f>
        <v/>
      </c>
      <c r="E305" s="7">
        <f>'Week2'!E296</f>
        <v/>
      </c>
      <c r="F305" s="7">
        <f>'Week2'!F296</f>
        <v/>
      </c>
      <c r="G305" s="7">
        <f>'Week2'!G296</f>
        <v/>
      </c>
      <c r="H305" s="7">
        <f>'Week2'!H296</f>
        <v/>
      </c>
      <c r="I305" s="6" t="n"/>
      <c r="J305" s="6" t="n"/>
      <c r="K305" s="6" t="n"/>
    </row>
    <row r="307">
      <c r="B307" s="5" t="inlineStr">
        <is>
          <t>Category</t>
        </is>
      </c>
      <c r="C307" s="5" t="n"/>
      <c r="D307" s="5" t="inlineStr">
        <is>
          <t>Basic hours</t>
        </is>
      </c>
      <c r="E307" s="5" t="inlineStr">
        <is>
          <t>Mon–Fri overtime</t>
        </is>
      </c>
      <c r="F307" s="5" t="inlineStr">
        <is>
          <t>Sat/Sun overtime</t>
        </is>
      </c>
      <c r="G307" s="5" t="inlineStr">
        <is>
          <t>Annual holiday</t>
        </is>
      </c>
      <c r="H307" s="5" t="inlineStr">
        <is>
          <t>Total paid hours</t>
        </is>
      </c>
      <c r="I307" s="5" t="n"/>
      <c r="J307" s="5" t="n"/>
      <c r="K307" s="5" t="n"/>
    </row>
    <row r="308">
      <c r="B308" s="6" t="n"/>
      <c r="C308" s="6" t="inlineStr">
        <is>
          <t>EMP</t>
        </is>
      </c>
      <c r="D308" s="7">
        <f>'Week3'!D294</f>
        <v/>
      </c>
      <c r="E308" s="7">
        <f>'Week3'!E294</f>
        <v/>
      </c>
      <c r="F308" s="7">
        <f>'Week3'!F294</f>
        <v/>
      </c>
      <c r="G308" s="7">
        <f>'Week3'!G294</f>
        <v/>
      </c>
      <c r="H308" s="7">
        <f>'Week3'!H294</f>
        <v/>
      </c>
      <c r="I308" s="6" t="n"/>
      <c r="J308" s="6" t="n"/>
      <c r="K308" s="6" t="n"/>
    </row>
    <row r="309">
      <c r="B309" s="6" t="n"/>
      <c r="C309" s="6" t="inlineStr">
        <is>
          <t>AGENCY</t>
        </is>
      </c>
      <c r="D309" s="7">
        <f>'Week3'!D295</f>
        <v/>
      </c>
      <c r="E309" s="7">
        <f>'Week3'!E295</f>
        <v/>
      </c>
      <c r="F309" s="7">
        <f>'Week3'!F295</f>
        <v/>
      </c>
      <c r="G309" s="7">
        <f>'Week3'!G295</f>
        <v/>
      </c>
      <c r="H309" s="7">
        <f>'Week3'!H295</f>
        <v/>
      </c>
      <c r="I309" s="6" t="n"/>
      <c r="J309" s="6" t="n"/>
      <c r="K309" s="6" t="n"/>
    </row>
    <row r="310">
      <c r="B310" s="6" t="n"/>
      <c r="C310" s="6" t="inlineStr">
        <is>
          <t>TOTAL</t>
        </is>
      </c>
      <c r="D310" s="7">
        <f>'Week3'!D296</f>
        <v/>
      </c>
      <c r="E310" s="7">
        <f>'Week3'!E296</f>
        <v/>
      </c>
      <c r="F310" s="7">
        <f>'Week3'!F296</f>
        <v/>
      </c>
      <c r="G310" s="7">
        <f>'Week3'!G296</f>
        <v/>
      </c>
      <c r="H310" s="7">
        <f>'Week3'!H296</f>
        <v/>
      </c>
      <c r="I310" s="6" t="n"/>
      <c r="J310" s="6" t="n"/>
      <c r="K310" s="6" t="n"/>
    </row>
    <row r="312">
      <c r="B312" s="5" t="inlineStr">
        <is>
          <t>Category</t>
        </is>
      </c>
      <c r="C312" s="5" t="n"/>
      <c r="D312" s="5" t="inlineStr">
        <is>
          <t>Basic hours</t>
        </is>
      </c>
      <c r="E312" s="5" t="inlineStr">
        <is>
          <t>Mon–Fri overtime</t>
        </is>
      </c>
      <c r="F312" s="5" t="inlineStr">
        <is>
          <t>Sat/Sun overtime</t>
        </is>
      </c>
      <c r="G312" s="5" t="inlineStr">
        <is>
          <t>Annual holiday</t>
        </is>
      </c>
      <c r="H312" s="5" t="inlineStr">
        <is>
          <t>Total paid hours</t>
        </is>
      </c>
      <c r="I312" s="5" t="n"/>
      <c r="J312" s="5" t="n"/>
      <c r="K312" s="5" t="n"/>
    </row>
    <row r="313">
      <c r="B313" s="6" t="n"/>
      <c r="C313" s="6" t="inlineStr">
        <is>
          <t>EMP</t>
        </is>
      </c>
      <c r="D313" s="7">
        <f>'Week4'!D294</f>
        <v/>
      </c>
      <c r="E313" s="7">
        <f>'Week4'!E294</f>
        <v/>
      </c>
      <c r="F313" s="7">
        <f>'Week4'!F294</f>
        <v/>
      </c>
      <c r="G313" s="7">
        <f>'Week4'!G294</f>
        <v/>
      </c>
      <c r="H313" s="7">
        <f>'Week4'!H294</f>
        <v/>
      </c>
      <c r="I313" s="6" t="n"/>
      <c r="J313" s="6" t="n"/>
      <c r="K313" s="6" t="n"/>
    </row>
    <row r="314">
      <c r="B314" s="6" t="n"/>
      <c r="C314" s="6" t="inlineStr">
        <is>
          <t>AGENCY</t>
        </is>
      </c>
      <c r="D314" s="7">
        <f>'Week4'!D295</f>
        <v/>
      </c>
      <c r="E314" s="7">
        <f>'Week4'!E295</f>
        <v/>
      </c>
      <c r="F314" s="7">
        <f>'Week4'!F295</f>
        <v/>
      </c>
      <c r="G314" s="7">
        <f>'Week4'!G295</f>
        <v/>
      </c>
      <c r="H314" s="7">
        <f>'Week4'!H295</f>
        <v/>
      </c>
      <c r="I314" s="6" t="n"/>
      <c r="J314" s="6" t="n"/>
      <c r="K314" s="6" t="n"/>
    </row>
    <row r="315">
      <c r="B315" s="6" t="n"/>
      <c r="C315" s="6" t="inlineStr">
        <is>
          <t>TOTAL</t>
        </is>
      </c>
      <c r="D315" s="7">
        <f>'Week4'!D296</f>
        <v/>
      </c>
      <c r="E315" s="7">
        <f>'Week4'!E296</f>
        <v/>
      </c>
      <c r="F315" s="7">
        <f>'Week4'!F296</f>
        <v/>
      </c>
      <c r="G315" s="7">
        <f>'Week4'!G296</f>
        <v/>
      </c>
      <c r="H315" s="7">
        <f>'Week4'!H296</f>
        <v/>
      </c>
      <c r="I315" s="6" t="n"/>
      <c r="J315" s="6" t="n"/>
      <c r="K315" s="6" t="n"/>
    </row>
    <row r="317">
      <c r="A317" s="3" t="inlineStr">
        <is>
          <t>Per-week additional holiday pay</t>
        </is>
      </c>
    </row>
    <row r="318">
      <c r="A318" s="4" t="inlineStr">
        <is>
          <t>Each row references the matching EMP/AGENCY/TOTAL cells on the Week sheet.</t>
        </is>
      </c>
    </row>
    <row r="319">
      <c r="B319" s="5" t="inlineStr">
        <is>
          <t>Category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inlineStr">
        <is>
          <t>Extra hours</t>
        </is>
      </c>
      <c r="K319" s="5" t="inlineStr">
        <is>
          <t>Additional holiday pay</t>
        </is>
      </c>
    </row>
    <row r="320">
      <c r="B320" s="6" t="inlineStr">
        <is>
          <t>Weekly</t>
        </is>
      </c>
      <c r="C320" s="6" t="inlineStr">
        <is>
          <t>EMP</t>
        </is>
      </c>
      <c r="D320" s="6" t="n"/>
      <c r="E320" s="6" t="n"/>
      <c r="F320" s="6" t="n"/>
      <c r="G320" s="6" t="n"/>
      <c r="H320" s="6" t="n"/>
      <c r="I320" s="6" t="n"/>
      <c r="J320" s="7">
        <f>'Week1'!J285</f>
        <v/>
      </c>
      <c r="K320" s="7">
        <f>'Week1'!K285</f>
        <v/>
      </c>
    </row>
    <row r="321">
      <c r="B321" s="6" t="n"/>
      <c r="C321" s="6" t="inlineStr">
        <is>
          <t>AGENCY</t>
        </is>
      </c>
      <c r="D321" s="6" t="n"/>
      <c r="E321" s="6" t="n"/>
      <c r="F321" s="6" t="n"/>
      <c r="G321" s="6" t="n"/>
      <c r="H321" s="6" t="n"/>
      <c r="I321" s="6" t="n"/>
      <c r="J321" s="7">
        <f>'Week1'!J286</f>
        <v/>
      </c>
      <c r="K321" s="7">
        <f>'Week1'!K286</f>
        <v/>
      </c>
    </row>
    <row r="322">
      <c r="B322" s="6" t="n"/>
      <c r="C322" s="6" t="inlineStr">
        <is>
          <t>TOTAL</t>
        </is>
      </c>
      <c r="D322" s="6" t="n"/>
      <c r="E322" s="6" t="n"/>
      <c r="F322" s="6" t="n"/>
      <c r="G322" s="6" t="n"/>
      <c r="H322" s="6" t="n"/>
      <c r="I322" s="6" t="n"/>
      <c r="J322" s="7">
        <f>'Week1'!J287</f>
        <v/>
      </c>
      <c r="K322" s="7">
        <f>'Week1'!K287</f>
        <v/>
      </c>
    </row>
    <row r="324">
      <c r="B324" s="5" t="inlineStr">
        <is>
          <t>Category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inlineStr">
        <is>
          <t>Extra hours</t>
        </is>
      </c>
      <c r="K324" s="5" t="inlineStr">
        <is>
          <t>Additional holiday pay</t>
        </is>
      </c>
    </row>
    <row r="325">
      <c r="B325" s="6" t="n"/>
      <c r="C325" s="6" t="inlineStr">
        <is>
          <t>EMP</t>
        </is>
      </c>
      <c r="D325" s="6" t="n"/>
      <c r="E325" s="6" t="n"/>
      <c r="F325" s="6" t="n"/>
      <c r="G325" s="6" t="n"/>
      <c r="H325" s="6" t="n"/>
      <c r="I325" s="6" t="n"/>
      <c r="J325" s="7">
        <f>'Week2'!J301</f>
        <v/>
      </c>
      <c r="K325" s="7">
        <f>'Week2'!K301</f>
        <v/>
      </c>
    </row>
    <row r="326">
      <c r="B326" s="6" t="n"/>
      <c r="C326" s="6" t="inlineStr">
        <is>
          <t>AGENCY</t>
        </is>
      </c>
      <c r="D326" s="6" t="n"/>
      <c r="E326" s="6" t="n"/>
      <c r="F326" s="6" t="n"/>
      <c r="G326" s="6" t="n"/>
      <c r="H326" s="6" t="n"/>
      <c r="I326" s="6" t="n"/>
      <c r="J326" s="7">
        <f>'Week2'!J302</f>
        <v/>
      </c>
      <c r="K326" s="7">
        <f>'Week2'!K302</f>
        <v/>
      </c>
    </row>
    <row r="327">
      <c r="B327" s="6" t="n"/>
      <c r="C327" s="6" t="inlineStr">
        <is>
          <t>TOTAL</t>
        </is>
      </c>
      <c r="D327" s="6" t="n"/>
      <c r="E327" s="6" t="n"/>
      <c r="F327" s="6" t="n"/>
      <c r="G327" s="6" t="n"/>
      <c r="H327" s="6" t="n"/>
      <c r="I327" s="6" t="n"/>
      <c r="J327" s="7">
        <f>'Week2'!J303</f>
        <v/>
      </c>
      <c r="K327" s="7">
        <f>'Week2'!K303</f>
        <v/>
      </c>
    </row>
    <row r="329">
      <c r="B329" s="5" t="inlineStr">
        <is>
          <t>Category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inlineStr">
        <is>
          <t>Extra hours</t>
        </is>
      </c>
      <c r="K329" s="5" t="inlineStr">
        <is>
          <t>Additional holiday pay</t>
        </is>
      </c>
    </row>
    <row r="330">
      <c r="B330" s="6" t="n"/>
      <c r="C330" s="6" t="inlineStr">
        <is>
          <t>EMP</t>
        </is>
      </c>
      <c r="D330" s="6" t="n"/>
      <c r="E330" s="6" t="n"/>
      <c r="F330" s="6" t="n"/>
      <c r="G330" s="6" t="n"/>
      <c r="H330" s="6" t="n"/>
      <c r="I330" s="6" t="n"/>
      <c r="J330" s="7">
        <f>'Week3'!J301</f>
        <v/>
      </c>
      <c r="K330" s="7">
        <f>'Week3'!K301</f>
        <v/>
      </c>
    </row>
    <row r="331">
      <c r="B331" s="6" t="n"/>
      <c r="C331" s="6" t="inlineStr">
        <is>
          <t>AGENCY</t>
        </is>
      </c>
      <c r="D331" s="6" t="n"/>
      <c r="E331" s="6" t="n"/>
      <c r="F331" s="6" t="n"/>
      <c r="G331" s="6" t="n"/>
      <c r="H331" s="6" t="n"/>
      <c r="I331" s="6" t="n"/>
      <c r="J331" s="7">
        <f>'Week3'!J302</f>
        <v/>
      </c>
      <c r="K331" s="7">
        <f>'Week3'!K302</f>
        <v/>
      </c>
    </row>
    <row r="332">
      <c r="B332" s="6" t="n"/>
      <c r="C332" s="6" t="inlineStr">
        <is>
          <t>TOTAL</t>
        </is>
      </c>
      <c r="D332" s="6" t="n"/>
      <c r="E332" s="6" t="n"/>
      <c r="F332" s="6" t="n"/>
      <c r="G332" s="6" t="n"/>
      <c r="H332" s="6" t="n"/>
      <c r="I332" s="6" t="n"/>
      <c r="J332" s="7">
        <f>'Week3'!J303</f>
        <v/>
      </c>
      <c r="K332" s="7">
        <f>'Week3'!K303</f>
        <v/>
      </c>
    </row>
    <row r="334">
      <c r="B334" s="5" t="inlineStr">
        <is>
          <t>Category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inlineStr">
        <is>
          <t>Extra hours</t>
        </is>
      </c>
      <c r="K334" s="5" t="inlineStr">
        <is>
          <t>Additional holiday pay</t>
        </is>
      </c>
    </row>
    <row r="335">
      <c r="B335" s="6" t="n"/>
      <c r="C335" s="6" t="inlineStr">
        <is>
          <t>EMP</t>
        </is>
      </c>
      <c r="D335" s="6" t="n"/>
      <c r="E335" s="6" t="n"/>
      <c r="F335" s="6" t="n"/>
      <c r="G335" s="6" t="n"/>
      <c r="H335" s="6" t="n"/>
      <c r="I335" s="6" t="n"/>
      <c r="J335" s="7">
        <f>'Week4'!J301</f>
        <v/>
      </c>
      <c r="K335" s="7">
        <f>'Week4'!K301</f>
        <v/>
      </c>
    </row>
    <row r="336">
      <c r="B336" s="6" t="n"/>
      <c r="C336" s="6" t="inlineStr">
        <is>
          <t>AGENCY</t>
        </is>
      </c>
      <c r="D336" s="6" t="n"/>
      <c r="E336" s="6" t="n"/>
      <c r="F336" s="6" t="n"/>
      <c r="G336" s="6" t="n"/>
      <c r="H336" s="6" t="n"/>
      <c r="I336" s="6" t="n"/>
      <c r="J336" s="7">
        <f>'Week4'!J302</f>
        <v/>
      </c>
      <c r="K336" s="7">
        <f>'Week4'!K302</f>
        <v/>
      </c>
    </row>
    <row r="337">
      <c r="B337" s="6" t="n"/>
      <c r="C337" s="6" t="inlineStr">
        <is>
          <t>TOTAL</t>
        </is>
      </c>
      <c r="D337" s="6" t="n"/>
      <c r="E337" s="6" t="n"/>
      <c r="F337" s="6" t="n"/>
      <c r="G337" s="6" t="n"/>
      <c r="H337" s="6" t="n"/>
      <c r="I337" s="6" t="n"/>
      <c r="J337" s="7">
        <f>'Week4'!J303</f>
        <v/>
      </c>
      <c r="K337" s="7">
        <f>'Week4'!K303</f>
        <v/>
      </c>
    </row>
    <row r="339">
      <c r="A339" s="3" t="inlineStr">
        <is>
          <t>Reconciliation difference</t>
        </is>
      </c>
    </row>
    <row r="340">
      <c r="A340" s="4" t="inlineStr">
        <is>
          <t>Merged (employees) minus MONTHLY row — EMP, AGENCY and TOTAL should all be zero.</t>
        </is>
      </c>
    </row>
    <row r="341">
      <c r="B341" s="5" t="inlineStr">
        <is>
          <t>Category</t>
        </is>
      </c>
      <c r="C341" s="5" t="n"/>
      <c r="D341" s="5" t="inlineStr">
        <is>
          <t>Basic hours</t>
        </is>
      </c>
      <c r="E341" s="5" t="inlineStr">
        <is>
          <t>Mon–Fri overtime</t>
        </is>
      </c>
      <c r="F341" s="5" t="inlineStr">
        <is>
          <t>Sat/Sun overtime</t>
        </is>
      </c>
      <c r="G341" s="5" t="inlineStr">
        <is>
          <t>Annual holiday</t>
        </is>
      </c>
      <c r="H341" s="5" t="inlineStr">
        <is>
          <t>Total paid hours</t>
        </is>
      </c>
      <c r="I341" s="5" t="n"/>
      <c r="J341" s="5" t="n"/>
      <c r="K341" s="5" t="n"/>
    </row>
    <row r="342">
      <c r="B342" s="6" t="inlineStr">
        <is>
          <t>Merged (employees)</t>
        </is>
      </c>
      <c r="C342" s="6" t="inlineStr">
        <is>
          <t>EMP</t>
        </is>
      </c>
      <c r="D342" s="7">
        <f>SUM($D$7:$D$216)-D343</f>
        <v/>
      </c>
      <c r="E342" s="7">
        <f>SUM($E$7:$E$216)-E343</f>
        <v/>
      </c>
      <c r="F342" s="7">
        <f>SUM($F$7:$F$216)-F343</f>
        <v/>
      </c>
      <c r="G342" s="7">
        <f>SUM($G$7:$G$216)-G343</f>
        <v/>
      </c>
      <c r="H342" s="7">
        <f>SUM($H$7:$H$216)-H343</f>
        <v/>
      </c>
      <c r="I342" s="6" t="n"/>
      <c r="J342" s="6" t="n"/>
      <c r="K342" s="6" t="n"/>
    </row>
    <row r="343">
      <c r="B343" s="6" t="n"/>
      <c r="C343" s="6" t="inlineStr">
        <is>
          <t>AGENCY</t>
        </is>
      </c>
      <c r="D343" s="7">
        <f>SUMPRODUCT((LEFT($B$7:$B$216,2)="A-")*($D$7:$D$216))</f>
        <v/>
      </c>
      <c r="E343" s="7">
        <f>SUMPRODUCT((LEFT($B$7:$B$216,2)="A-")*($E$7:$E$216))</f>
        <v/>
      </c>
      <c r="F343" s="7">
        <f>SUMPRODUCT((LEFT($B$7:$B$216,2)="A-")*($F$7:$F$216))</f>
        <v/>
      </c>
      <c r="G343" s="7">
        <f>SUMPRODUCT((LEFT($B$7:$B$216,2)="A-")*($G$7:$G$216))</f>
        <v/>
      </c>
      <c r="H343" s="7">
        <f>SUMPRODUCT((LEFT($B$7:$B$216,2)="A-")*($H$7:$H$216))</f>
        <v/>
      </c>
      <c r="I343" s="6" t="n"/>
      <c r="J343" s="6" t="n"/>
      <c r="K343" s="6" t="n"/>
    </row>
    <row r="344">
      <c r="B344" s="6" t="n"/>
      <c r="C344" s="6" t="inlineStr">
        <is>
          <t>TOTAL</t>
        </is>
      </c>
      <c r="D344" s="7">
        <f>D342+D343</f>
        <v/>
      </c>
      <c r="E344" s="7">
        <f>E342+E343</f>
        <v/>
      </c>
      <c r="F344" s="7">
        <f>F342+F343</f>
        <v/>
      </c>
      <c r="G344" s="7">
        <f>G342+G343</f>
        <v/>
      </c>
      <c r="H344" s="7">
        <f>H342+H343</f>
        <v/>
      </c>
      <c r="I344" s="6" t="n"/>
      <c r="J344" s="6" t="n"/>
      <c r="K344" s="6" t="n"/>
    </row>
    <row r="345">
      <c r="B345" s="6" t="inlineStr">
        <is>
          <t>Diff</t>
        </is>
      </c>
      <c r="C345" s="6" t="inlineStr">
        <is>
          <t>EMP</t>
        </is>
      </c>
      <c r="D345" s="7">
        <f>D342-D284</f>
        <v/>
      </c>
      <c r="E345" s="7">
        <f>E342-E284</f>
        <v/>
      </c>
      <c r="F345" s="7">
        <f>F342-F284</f>
        <v/>
      </c>
      <c r="G345" s="7">
        <f>G342-G284</f>
        <v/>
      </c>
      <c r="H345" s="7">
        <f>H342-H284</f>
        <v/>
      </c>
      <c r="I345" s="6" t="n"/>
      <c r="J345" s="6" t="n"/>
      <c r="K345" s="6" t="n"/>
    </row>
    <row r="346">
      <c r="B346" s="6" t="n"/>
      <c r="C346" s="6" t="inlineStr">
        <is>
          <t>AGENCY</t>
        </is>
      </c>
      <c r="D346" s="7">
        <f>D343-D285</f>
        <v/>
      </c>
      <c r="E346" s="7">
        <f>E343-E285</f>
        <v/>
      </c>
      <c r="F346" s="7">
        <f>F343-F285</f>
        <v/>
      </c>
      <c r="G346" s="7">
        <f>G343-G285</f>
        <v/>
      </c>
      <c r="H346" s="7">
        <f>H343-H285</f>
        <v/>
      </c>
      <c r="I346" s="6" t="n"/>
      <c r="J346" s="6" t="n"/>
      <c r="K346" s="6" t="n"/>
    </row>
    <row r="347">
      <c r="B347" s="6" t="n"/>
      <c r="C347" s="6" t="inlineStr">
        <is>
          <t>TOTAL</t>
        </is>
      </c>
      <c r="D347" s="7">
        <f>D344-D286</f>
        <v/>
      </c>
      <c r="E347" s="7">
        <f>E344-E286</f>
        <v/>
      </c>
      <c r="F347" s="7">
        <f>F344-F286</f>
        <v/>
      </c>
      <c r="G347" s="7">
        <f>G344-G286</f>
        <v/>
      </c>
      <c r="H347" s="7">
        <f>H344-H286</f>
        <v/>
      </c>
      <c r="I347" s="6" t="n"/>
      <c r="J347" s="6" t="n"/>
      <c r="K347" s="6" t="n"/>
    </row>
  </sheetData>
  <mergeCells count="20">
    <mergeCell ref="A295:K295"/>
    <mergeCell ref="A340:K340"/>
    <mergeCell ref="A296:K296"/>
    <mergeCell ref="A1:K1"/>
    <mergeCell ref="A281:K281"/>
    <mergeCell ref="A250:K250"/>
    <mergeCell ref="A339:K339"/>
    <mergeCell ref="A218:K218"/>
    <mergeCell ref="A271:K271"/>
    <mergeCell ref="A282:K282"/>
    <mergeCell ref="A317:K317"/>
    <mergeCell ref="A272:K272"/>
    <mergeCell ref="A2:K2"/>
    <mergeCell ref="A219:K219"/>
    <mergeCell ref="A5:K5"/>
    <mergeCell ref="A4:K4"/>
    <mergeCell ref="A318:K318"/>
    <mergeCell ref="A288:K288"/>
    <mergeCell ref="A249:K249"/>
    <mergeCell ref="A289:K2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2026-06-25T13:53:11Z</dcterms:created>
  <dcterms:modified xsi:type="dcterms:W3CDTF">2026-06-25T13:53:12Z</dcterms:modified>
</cp:coreProperties>
</file>