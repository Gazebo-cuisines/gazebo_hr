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3078"/>
      <sz val="14"/>
    </font>
    <font>
      <name val="Calibri"/>
      <i val="1"/>
      <color rgb="00666666"/>
      <sz val="10"/>
    </font>
    <font>
      <name val="Calibri"/>
      <b val="1"/>
      <color rgb="0033333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Gazebo HR — Week 1</t>
        </is>
      </c>
    </row>
    <row r="2">
      <c r="A2" s="2" t="inlineStr">
        <is>
          <t>Period: D 20/04/2026 to D 26/04/2026</t>
        </is>
      </c>
    </row>
    <row r="4">
      <c r="A4" s="3" t="inlineStr">
        <is>
          <t>Week 1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</row>
    <row r="7">
      <c r="A7" s="6" t="inlineStr">
        <is>
          <t>K CARSANE</t>
        </is>
      </c>
      <c r="B7" s="6" t="inlineStr">
        <is>
          <t>CLNR</t>
        </is>
      </c>
      <c r="C7" s="7" t="n">
        <v>692</v>
      </c>
      <c r="D7" s="7" t="n">
        <v>41.25</v>
      </c>
      <c r="E7" s="7" t="n">
        <v>3.25</v>
      </c>
      <c r="F7" s="7" t="n">
        <v>0</v>
      </c>
      <c r="G7" s="7" t="n">
        <v>0</v>
      </c>
      <c r="H7" s="7" t="n">
        <v>44.5</v>
      </c>
    </row>
    <row r="8">
      <c r="A8" s="6" t="inlineStr">
        <is>
          <t>D GIVA</t>
        </is>
      </c>
      <c r="B8" s="6" t="inlineStr">
        <is>
          <t>CLNR</t>
        </is>
      </c>
      <c r="C8" s="7" t="n">
        <v>718</v>
      </c>
      <c r="D8" s="7" t="n">
        <v>40</v>
      </c>
      <c r="E8" s="7" t="n">
        <v>0.5</v>
      </c>
      <c r="F8" s="7" t="n">
        <v>0</v>
      </c>
      <c r="G8" s="7" t="n">
        <v>0</v>
      </c>
      <c r="H8" s="7" t="n">
        <v>40.5</v>
      </c>
    </row>
    <row r="9">
      <c r="A9" s="6" t="inlineStr">
        <is>
          <t>D KUMAR NARANBHAI RATHOD</t>
        </is>
      </c>
      <c r="B9" s="6" t="inlineStr">
        <is>
          <t>CLNR</t>
        </is>
      </c>
      <c r="C9" s="7" t="n">
        <v>629</v>
      </c>
      <c r="D9" s="7" t="n">
        <v>40</v>
      </c>
      <c r="E9" s="7" t="n">
        <v>0</v>
      </c>
      <c r="F9" s="7" t="n">
        <v>0</v>
      </c>
      <c r="G9" s="7" t="n">
        <v>0</v>
      </c>
      <c r="H9" s="7" t="n">
        <v>40</v>
      </c>
    </row>
    <row r="10">
      <c r="A10" s="6" t="inlineStr">
        <is>
          <t>D NATU</t>
        </is>
      </c>
      <c r="B10" s="6" t="inlineStr">
        <is>
          <t>CLNR</t>
        </is>
      </c>
      <c r="C10" s="7" t="n">
        <v>750</v>
      </c>
      <c r="D10" s="7" t="n">
        <v>41.25</v>
      </c>
      <c r="E10" s="7" t="n">
        <v>0.25</v>
      </c>
      <c r="F10" s="7" t="n">
        <v>0</v>
      </c>
      <c r="G10" s="7" t="n">
        <v>0</v>
      </c>
      <c r="H10" s="7" t="n">
        <v>41.5</v>
      </c>
    </row>
    <row r="11">
      <c r="A11" s="6" t="inlineStr">
        <is>
          <t>S NATU</t>
        </is>
      </c>
      <c r="B11" s="6" t="inlineStr">
        <is>
          <t>CLNR</t>
        </is>
      </c>
      <c r="C11" s="7" t="n">
        <v>579</v>
      </c>
      <c r="D11" s="7" t="n">
        <v>0</v>
      </c>
      <c r="E11" s="7" t="n">
        <v>5</v>
      </c>
      <c r="F11" s="7" t="n">
        <v>10.75</v>
      </c>
      <c r="G11" s="7" t="n">
        <v>0</v>
      </c>
      <c r="H11" s="7" t="n">
        <v>15.75</v>
      </c>
    </row>
    <row r="12">
      <c r="A12" s="6" t="inlineStr">
        <is>
          <t>T TIRKEY</t>
        </is>
      </c>
      <c r="B12" s="6" t="inlineStr">
        <is>
          <t>CLNR</t>
        </is>
      </c>
      <c r="C12" s="7" t="n">
        <v>506</v>
      </c>
      <c r="D12" s="7" t="n">
        <v>39.5</v>
      </c>
      <c r="E12" s="7" t="n">
        <v>0</v>
      </c>
      <c r="F12" s="7" t="n">
        <v>0</v>
      </c>
      <c r="G12" s="7" t="n">
        <v>0</v>
      </c>
      <c r="H12" s="7" t="n">
        <v>39.5</v>
      </c>
    </row>
    <row r="13">
      <c r="A13" s="6" t="inlineStr">
        <is>
          <t>U VINAYCHANDRA</t>
        </is>
      </c>
      <c r="B13" s="6" t="inlineStr">
        <is>
          <t>DPCH</t>
        </is>
      </c>
      <c r="C13" s="7" t="n">
        <v>426</v>
      </c>
      <c r="D13" s="7" t="n">
        <v>41.25</v>
      </c>
      <c r="E13" s="7" t="n">
        <v>26.5</v>
      </c>
      <c r="F13" s="7" t="n">
        <v>0</v>
      </c>
      <c r="G13" s="7" t="n">
        <v>0</v>
      </c>
      <c r="H13" s="7" t="n">
        <v>67.75</v>
      </c>
    </row>
    <row r="14">
      <c r="A14" s="6" t="inlineStr">
        <is>
          <t>S BHIMJI VAGADIYA</t>
        </is>
      </c>
      <c r="B14" s="6" t="inlineStr">
        <is>
          <t>OFCE</t>
        </is>
      </c>
      <c r="C14" s="7" t="n">
        <v>749</v>
      </c>
      <c r="D14" s="7" t="n">
        <v>20</v>
      </c>
      <c r="E14" s="7" t="n">
        <v>0</v>
      </c>
      <c r="F14" s="7" t="n">
        <v>0</v>
      </c>
      <c r="G14" s="7" t="n">
        <v>0</v>
      </c>
      <c r="H14" s="7" t="n">
        <v>20</v>
      </c>
    </row>
    <row r="15">
      <c r="A15" s="6" t="inlineStr">
        <is>
          <t>D DEVUSINH BAROT</t>
        </is>
      </c>
      <c r="B15" s="6" t="inlineStr">
        <is>
          <t>OFCE</t>
        </is>
      </c>
      <c r="C15" s="7" t="n">
        <v>752</v>
      </c>
      <c r="D15" s="7" t="n">
        <v>41.25</v>
      </c>
      <c r="E15" s="7" t="n">
        <v>3.25</v>
      </c>
      <c r="F15" s="7" t="n">
        <v>0</v>
      </c>
      <c r="G15" s="7" t="n">
        <v>0</v>
      </c>
      <c r="H15" s="7" t="n">
        <v>44.5</v>
      </c>
    </row>
    <row r="16">
      <c r="A16" s="6" t="inlineStr">
        <is>
          <t>B DIKER</t>
        </is>
      </c>
      <c r="B16" s="6" t="inlineStr">
        <is>
          <t>OFCE</t>
        </is>
      </c>
      <c r="C16" s="7" t="n">
        <v>747</v>
      </c>
      <c r="D16" s="7" t="n">
        <v>41.25</v>
      </c>
      <c r="E16" s="7" t="n">
        <v>7.75</v>
      </c>
      <c r="F16" s="7" t="n">
        <v>0</v>
      </c>
      <c r="G16" s="7" t="n">
        <v>0</v>
      </c>
      <c r="H16" s="7" t="n">
        <v>49</v>
      </c>
    </row>
    <row r="17">
      <c r="A17" s="6" t="inlineStr">
        <is>
          <t>U GOHEL</t>
        </is>
      </c>
      <c r="B17" s="6" t="inlineStr">
        <is>
          <t>OFCE</t>
        </is>
      </c>
      <c r="C17" s="7" t="n">
        <v>691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6" t="inlineStr">
        <is>
          <t>P LEITE</t>
        </is>
      </c>
      <c r="B18" s="6" t="inlineStr">
        <is>
          <t>OFCE</t>
        </is>
      </c>
      <c r="C18" s="7" t="n">
        <v>504</v>
      </c>
      <c r="D18" s="7" t="n">
        <v>41.25</v>
      </c>
      <c r="E18" s="7" t="n">
        <v>4.5</v>
      </c>
      <c r="F18" s="7" t="n">
        <v>2.75</v>
      </c>
      <c r="G18" s="7" t="n">
        <v>0</v>
      </c>
      <c r="H18" s="7" t="n">
        <v>48.5</v>
      </c>
    </row>
    <row r="19">
      <c r="A19" s="6" t="inlineStr">
        <is>
          <t>P MALIK</t>
        </is>
      </c>
      <c r="B19" s="6" t="inlineStr">
        <is>
          <t>OFCE</t>
        </is>
      </c>
      <c r="C19" s="7" t="n">
        <v>679</v>
      </c>
      <c r="D19" s="7" t="n">
        <v>41.25</v>
      </c>
      <c r="E19" s="7" t="n">
        <v>3.75</v>
      </c>
      <c r="F19" s="7" t="n">
        <v>0</v>
      </c>
      <c r="G19" s="7" t="n">
        <v>0</v>
      </c>
      <c r="H19" s="7" t="n">
        <v>45</v>
      </c>
    </row>
    <row r="20">
      <c r="A20" s="6" t="inlineStr">
        <is>
          <t>P PANDHARIPANDE</t>
        </is>
      </c>
      <c r="B20" s="6" t="inlineStr">
        <is>
          <t>OFCE</t>
        </is>
      </c>
      <c r="C20" s="7" t="n">
        <v>660</v>
      </c>
      <c r="D20" s="7" t="n">
        <v>41.25</v>
      </c>
      <c r="E20" s="7" t="n">
        <v>2.5</v>
      </c>
      <c r="F20" s="7" t="n">
        <v>0</v>
      </c>
      <c r="G20" s="7" t="n">
        <v>0</v>
      </c>
      <c r="H20" s="7" t="n">
        <v>43.75</v>
      </c>
    </row>
    <row r="21">
      <c r="A21" s="6" t="inlineStr">
        <is>
          <t>A PODDER</t>
        </is>
      </c>
      <c r="B21" s="6" t="inlineStr">
        <is>
          <t>OFCE</t>
        </is>
      </c>
      <c r="C21" s="7" t="n">
        <v>754</v>
      </c>
      <c r="D21" s="7" t="n">
        <v>41.25</v>
      </c>
      <c r="E21" s="7" t="n">
        <v>2.75</v>
      </c>
      <c r="F21" s="7" t="n">
        <v>0</v>
      </c>
      <c r="G21" s="7" t="n">
        <v>0</v>
      </c>
      <c r="H21" s="7" t="n">
        <v>44</v>
      </c>
    </row>
    <row r="22">
      <c r="A22" s="6" t="inlineStr">
        <is>
          <t>G RAMESH</t>
        </is>
      </c>
      <c r="B22" s="6" t="inlineStr">
        <is>
          <t>OFCE</t>
        </is>
      </c>
      <c r="C22" s="7" t="n">
        <v>737</v>
      </c>
      <c r="D22" s="7" t="n">
        <v>25</v>
      </c>
      <c r="E22" s="7" t="n">
        <v>0</v>
      </c>
      <c r="F22" s="7" t="n">
        <v>0</v>
      </c>
      <c r="G22" s="7" t="n">
        <v>0</v>
      </c>
      <c r="H22" s="7" t="n">
        <v>25</v>
      </c>
    </row>
    <row r="23">
      <c r="A23" s="6" t="inlineStr">
        <is>
          <t>P RAMNIK</t>
        </is>
      </c>
      <c r="B23" s="6" t="inlineStr">
        <is>
          <t>OFCE</t>
        </is>
      </c>
      <c r="C23" s="7" t="n">
        <v>753</v>
      </c>
      <c r="D23" s="7" t="n">
        <v>41.25</v>
      </c>
      <c r="E23" s="7" t="n">
        <v>4</v>
      </c>
      <c r="F23" s="7" t="n">
        <v>0</v>
      </c>
      <c r="G23" s="7" t="n">
        <v>0</v>
      </c>
      <c r="H23" s="7" t="n">
        <v>45.25</v>
      </c>
    </row>
    <row r="24">
      <c r="A24" s="6" t="inlineStr">
        <is>
          <t>A RATHOD</t>
        </is>
      </c>
      <c r="B24" s="6" t="inlineStr">
        <is>
          <t>OFCE</t>
        </is>
      </c>
      <c r="C24" s="7" t="n">
        <v>369</v>
      </c>
      <c r="D24" s="7" t="n">
        <v>37.5</v>
      </c>
      <c r="E24" s="7" t="n">
        <v>0</v>
      </c>
      <c r="F24" s="7" t="n">
        <v>0</v>
      </c>
      <c r="G24" s="7" t="n">
        <v>0</v>
      </c>
      <c r="H24" s="7" t="n">
        <v>37.5</v>
      </c>
    </row>
    <row r="25">
      <c r="A25" s="6" t="inlineStr">
        <is>
          <t>K RATHOD</t>
        </is>
      </c>
      <c r="B25" s="6" t="inlineStr">
        <is>
          <t>OFCE</t>
        </is>
      </c>
      <c r="C25" s="7" t="n">
        <v>727</v>
      </c>
      <c r="D25" s="7" t="n">
        <v>36.25</v>
      </c>
      <c r="E25" s="7" t="n">
        <v>0</v>
      </c>
      <c r="F25" s="7" t="n">
        <v>0</v>
      </c>
      <c r="G25" s="7" t="n">
        <v>0</v>
      </c>
      <c r="H25" s="7" t="n">
        <v>36.25</v>
      </c>
    </row>
    <row r="26">
      <c r="A26" s="6" t="inlineStr">
        <is>
          <t>D SHAH</t>
        </is>
      </c>
      <c r="B26" s="6" t="inlineStr">
        <is>
          <t>OFCE</t>
        </is>
      </c>
      <c r="C26" s="7" t="n">
        <v>429</v>
      </c>
      <c r="D26" s="7" t="n">
        <v>41.25</v>
      </c>
      <c r="E26" s="7" t="n">
        <v>3</v>
      </c>
      <c r="F26" s="7" t="n">
        <v>0</v>
      </c>
      <c r="G26" s="7" t="n">
        <v>0</v>
      </c>
      <c r="H26" s="7" t="n">
        <v>44.25</v>
      </c>
    </row>
    <row r="27">
      <c r="A27" s="6" t="inlineStr">
        <is>
          <t>T SINGH SEHDEV</t>
        </is>
      </c>
      <c r="B27" s="6" t="inlineStr">
        <is>
          <t>OFCE</t>
        </is>
      </c>
      <c r="C27" s="7" t="n">
        <v>522</v>
      </c>
      <c r="D27" s="7" t="n">
        <v>41.25</v>
      </c>
      <c r="E27" s="7" t="n">
        <v>1.5</v>
      </c>
      <c r="F27" s="7" t="n">
        <v>0</v>
      </c>
      <c r="G27" s="7" t="n">
        <v>0</v>
      </c>
      <c r="H27" s="7" t="n">
        <v>42.75</v>
      </c>
    </row>
    <row r="28">
      <c r="A28" s="6" t="inlineStr">
        <is>
          <t>B VANZA</t>
        </is>
      </c>
      <c r="B28" s="6" t="inlineStr">
        <is>
          <t>OFCE</t>
        </is>
      </c>
      <c r="C28" s="7" t="n">
        <v>161</v>
      </c>
      <c r="D28" s="7" t="n">
        <v>25.25</v>
      </c>
      <c r="E28" s="7" t="n">
        <v>1.75</v>
      </c>
      <c r="F28" s="7" t="n">
        <v>0</v>
      </c>
      <c r="G28" s="7" t="n">
        <v>16</v>
      </c>
      <c r="H28" s="7" t="n">
        <v>43</v>
      </c>
    </row>
    <row r="29">
      <c r="A29" s="6" t="inlineStr">
        <is>
          <t>A BHARATBHAI VASANI</t>
        </is>
      </c>
      <c r="B29" s="6" t="inlineStr">
        <is>
          <t>PKNG HIGH_RISK</t>
        </is>
      </c>
      <c r="C29" s="7" t="n">
        <v>707</v>
      </c>
      <c r="D29" s="7" t="n">
        <v>41.25</v>
      </c>
      <c r="E29" s="7" t="n">
        <v>7.25</v>
      </c>
      <c r="F29" s="7" t="n">
        <v>0</v>
      </c>
      <c r="G29" s="7" t="n">
        <v>0</v>
      </c>
      <c r="H29" s="7" t="n">
        <v>48.5</v>
      </c>
    </row>
    <row r="30">
      <c r="A30" s="6" t="inlineStr">
        <is>
          <t>R DA SILVA</t>
        </is>
      </c>
      <c r="B30" s="6" t="inlineStr">
        <is>
          <t>PKNG HIGH_RISK</t>
        </is>
      </c>
      <c r="C30" s="7" t="n">
        <v>713</v>
      </c>
      <c r="D30" s="7" t="n">
        <v>39</v>
      </c>
      <c r="E30" s="7" t="n">
        <v>0</v>
      </c>
      <c r="F30" s="7" t="n">
        <v>0</v>
      </c>
      <c r="G30" s="7" t="n">
        <v>0</v>
      </c>
      <c r="H30" s="7" t="n">
        <v>39</v>
      </c>
    </row>
    <row r="31">
      <c r="A31" s="6" t="inlineStr">
        <is>
          <t>F DHANGAR</t>
        </is>
      </c>
      <c r="B31" s="6" t="inlineStr">
        <is>
          <t>PKNG HIGH_RISK</t>
        </is>
      </c>
      <c r="C31" s="7" t="n">
        <v>637</v>
      </c>
      <c r="D31" s="7" t="n">
        <v>41.25</v>
      </c>
      <c r="E31" s="7" t="n">
        <v>10.25</v>
      </c>
      <c r="F31" s="7" t="n">
        <v>0</v>
      </c>
      <c r="G31" s="7" t="n">
        <v>0</v>
      </c>
      <c r="H31" s="7" t="n">
        <v>51.5</v>
      </c>
    </row>
    <row r="32">
      <c r="A32" s="6" t="inlineStr">
        <is>
          <t>D DIVYA</t>
        </is>
      </c>
      <c r="B32" s="6" t="inlineStr">
        <is>
          <t>PKNG HIGH_RISK</t>
        </is>
      </c>
      <c r="C32" s="7" t="n">
        <v>734</v>
      </c>
      <c r="D32" s="7" t="n">
        <v>35.75</v>
      </c>
      <c r="E32" s="7" t="n">
        <v>0</v>
      </c>
      <c r="F32" s="7" t="n">
        <v>0</v>
      </c>
      <c r="G32" s="7" t="n">
        <v>0</v>
      </c>
      <c r="H32" s="7" t="n">
        <v>35.75</v>
      </c>
    </row>
    <row r="33">
      <c r="A33" s="6" t="inlineStr">
        <is>
          <t>A KRANYIK</t>
        </is>
      </c>
      <c r="B33" s="6" t="inlineStr">
        <is>
          <t>PKNG HIGH_RISK</t>
        </is>
      </c>
      <c r="C33" s="7" t="n">
        <v>320</v>
      </c>
      <c r="D33" s="7" t="n">
        <v>41.25</v>
      </c>
      <c r="E33" s="7" t="n">
        <v>1</v>
      </c>
      <c r="F33" s="7" t="n">
        <v>0</v>
      </c>
      <c r="G33" s="7" t="n">
        <v>0</v>
      </c>
      <c r="H33" s="7" t="n">
        <v>42.25</v>
      </c>
    </row>
    <row r="34">
      <c r="A34" s="6" t="inlineStr">
        <is>
          <t>A MAENCAR</t>
        </is>
      </c>
      <c r="B34" s="6" t="inlineStr">
        <is>
          <t>PKNG HIGH_RISK</t>
        </is>
      </c>
      <c r="C34" s="7" t="n">
        <v>445</v>
      </c>
      <c r="D34" s="7" t="n">
        <v>0</v>
      </c>
      <c r="E34" s="7" t="n">
        <v>0</v>
      </c>
      <c r="F34" s="7" t="n">
        <v>0</v>
      </c>
      <c r="G34" s="7" t="n">
        <v>40</v>
      </c>
      <c r="H34" s="7" t="n">
        <v>40</v>
      </c>
    </row>
    <row r="35">
      <c r="A35" s="6" t="inlineStr">
        <is>
          <t>S PERUMAL MURTHI</t>
        </is>
      </c>
      <c r="B35" s="6" t="inlineStr">
        <is>
          <t>PKNG HIGH_RISK</t>
        </is>
      </c>
      <c r="C35" s="7" t="n">
        <v>751</v>
      </c>
      <c r="D35" s="7" t="n">
        <v>39</v>
      </c>
      <c r="E35" s="7" t="n">
        <v>0</v>
      </c>
      <c r="F35" s="7" t="n">
        <v>0</v>
      </c>
      <c r="G35" s="7" t="n">
        <v>0</v>
      </c>
      <c r="H35" s="7" t="n">
        <v>39</v>
      </c>
    </row>
    <row r="36">
      <c r="A36" s="6" t="inlineStr">
        <is>
          <t>N SOMA</t>
        </is>
      </c>
      <c r="B36" s="6" t="inlineStr">
        <is>
          <t>PKNG HIGH_RISK</t>
        </is>
      </c>
      <c r="C36" s="7" t="n">
        <v>724</v>
      </c>
      <c r="D36" s="7" t="n">
        <v>41.25</v>
      </c>
      <c r="E36" s="7" t="n">
        <v>0.75</v>
      </c>
      <c r="F36" s="7" t="n">
        <v>0</v>
      </c>
      <c r="G36" s="7" t="n">
        <v>0</v>
      </c>
      <c r="H36" s="7" t="n">
        <v>42</v>
      </c>
    </row>
    <row r="37">
      <c r="A37" s="6" t="inlineStr">
        <is>
          <t>R SUREXA NAIQUE</t>
        </is>
      </c>
      <c r="B37" s="6" t="inlineStr">
        <is>
          <t>PKNG HIGH_RISK</t>
        </is>
      </c>
      <c r="C37" s="7" t="n">
        <v>714</v>
      </c>
      <c r="D37" s="7" t="n">
        <v>39.75</v>
      </c>
      <c r="E37" s="7" t="n">
        <v>0</v>
      </c>
      <c r="F37" s="7" t="n">
        <v>0</v>
      </c>
      <c r="G37" s="7" t="n">
        <v>0</v>
      </c>
      <c r="H37" s="7" t="n">
        <v>39.75</v>
      </c>
    </row>
    <row r="38">
      <c r="A38" s="6" t="inlineStr">
        <is>
          <t>L XAVERINA LOPES</t>
        </is>
      </c>
      <c r="B38" s="6" t="inlineStr">
        <is>
          <t>PKNG HIGH_RISK</t>
        </is>
      </c>
      <c r="C38" s="7" t="n">
        <v>726</v>
      </c>
      <c r="D38" s="7" t="n">
        <v>39</v>
      </c>
      <c r="E38" s="7" t="n">
        <v>0</v>
      </c>
      <c r="F38" s="7" t="n">
        <v>0</v>
      </c>
      <c r="G38" s="7" t="n">
        <v>0</v>
      </c>
      <c r="H38" s="7" t="n">
        <v>39</v>
      </c>
    </row>
    <row r="39">
      <c r="A39" s="6" t="inlineStr">
        <is>
          <t>R BAGOANE</t>
        </is>
      </c>
      <c r="B39" s="6" t="inlineStr">
        <is>
          <t>PKNG SLEEVING</t>
        </is>
      </c>
      <c r="C39" s="7" t="n">
        <v>254</v>
      </c>
      <c r="D39" s="7" t="n">
        <v>41.25</v>
      </c>
      <c r="E39" s="7" t="n">
        <v>3.25</v>
      </c>
      <c r="F39" s="7" t="n">
        <v>0</v>
      </c>
      <c r="G39" s="7" t="n">
        <v>0</v>
      </c>
      <c r="H39" s="7" t="n">
        <v>44.5</v>
      </c>
    </row>
    <row r="40">
      <c r="A40" s="6" t="inlineStr">
        <is>
          <t>K CALA</t>
        </is>
      </c>
      <c r="B40" s="6" t="inlineStr">
        <is>
          <t>PKNG SLEEVING</t>
        </is>
      </c>
      <c r="C40" s="7" t="n">
        <v>392</v>
      </c>
      <c r="D40" s="7" t="n">
        <v>35.5</v>
      </c>
      <c r="E40" s="7" t="n">
        <v>0</v>
      </c>
      <c r="F40" s="7" t="n">
        <v>0</v>
      </c>
      <c r="G40" s="7" t="n">
        <v>0</v>
      </c>
      <c r="H40" s="7" t="n">
        <v>35.5</v>
      </c>
    </row>
    <row r="41">
      <c r="A41" s="6" t="inlineStr">
        <is>
          <t>T CANGI</t>
        </is>
      </c>
      <c r="B41" s="6" t="inlineStr">
        <is>
          <t>PKNG SLEEVING</t>
        </is>
      </c>
      <c r="C41" s="7" t="n">
        <v>687</v>
      </c>
      <c r="D41" s="7" t="n">
        <v>36.5</v>
      </c>
      <c r="E41" s="7" t="n">
        <v>0</v>
      </c>
      <c r="F41" s="7" t="n">
        <v>0</v>
      </c>
      <c r="G41" s="7" t="n">
        <v>0</v>
      </c>
      <c r="H41" s="7" t="n">
        <v>36.5</v>
      </c>
    </row>
    <row r="42">
      <c r="A42" s="6" t="inlineStr">
        <is>
          <t>J CARSANE</t>
        </is>
      </c>
      <c r="B42" s="6" t="inlineStr">
        <is>
          <t>PKNG SLEEVING</t>
        </is>
      </c>
      <c r="C42" s="7" t="n">
        <v>669</v>
      </c>
      <c r="D42" s="7" t="n">
        <v>37.75</v>
      </c>
      <c r="E42" s="7" t="n">
        <v>0</v>
      </c>
      <c r="F42" s="7" t="n">
        <v>0</v>
      </c>
      <c r="G42" s="7" t="n">
        <v>0</v>
      </c>
      <c r="H42" s="7" t="n">
        <v>37.75</v>
      </c>
    </row>
    <row r="43">
      <c r="A43" s="6" t="inlineStr">
        <is>
          <t>S DIAS</t>
        </is>
      </c>
      <c r="B43" s="6" t="inlineStr">
        <is>
          <t>PKNG SLEEVING</t>
        </is>
      </c>
      <c r="C43" s="7" t="n">
        <v>730</v>
      </c>
      <c r="D43" s="7" t="n">
        <v>30.75</v>
      </c>
      <c r="E43" s="7" t="n">
        <v>0</v>
      </c>
      <c r="F43" s="7" t="n">
        <v>0</v>
      </c>
      <c r="G43" s="7" t="n">
        <v>8</v>
      </c>
      <c r="H43" s="7" t="n">
        <v>38.75</v>
      </c>
    </row>
    <row r="44">
      <c r="A44" s="6" t="inlineStr">
        <is>
          <t>D MEGGI</t>
        </is>
      </c>
      <c r="B44" s="6" t="inlineStr">
        <is>
          <t>PKNG SLEEVING</t>
        </is>
      </c>
      <c r="C44" s="7" t="n">
        <v>387</v>
      </c>
      <c r="D44" s="7" t="n">
        <v>36.5</v>
      </c>
      <c r="E44" s="7" t="n">
        <v>0</v>
      </c>
      <c r="F44" s="7" t="n">
        <v>0</v>
      </c>
      <c r="G44" s="7" t="n">
        <v>0</v>
      </c>
      <c r="H44" s="7" t="n">
        <v>36.5</v>
      </c>
    </row>
    <row r="45">
      <c r="A45" s="6" t="inlineStr">
        <is>
          <t>V MUKESHBHAI PATEL</t>
        </is>
      </c>
      <c r="B45" s="6" t="inlineStr">
        <is>
          <t>PKNG SLEEVING</t>
        </is>
      </c>
      <c r="C45" s="7" t="n">
        <v>683</v>
      </c>
      <c r="D45" s="7" t="n">
        <v>39.75</v>
      </c>
      <c r="E45" s="7" t="n">
        <v>7.75</v>
      </c>
      <c r="F45" s="7" t="n">
        <v>0</v>
      </c>
      <c r="G45" s="7" t="n">
        <v>0</v>
      </c>
      <c r="H45" s="7" t="n">
        <v>47.5</v>
      </c>
    </row>
    <row r="46">
      <c r="A46" s="6" t="inlineStr">
        <is>
          <t>M PEMGI</t>
        </is>
      </c>
      <c r="B46" s="6" t="inlineStr">
        <is>
          <t>PKNG SLEEVING</t>
        </is>
      </c>
      <c r="C46" s="7" t="n">
        <v>681</v>
      </c>
      <c r="D46" s="7" t="n">
        <v>38.5</v>
      </c>
      <c r="E46" s="7" t="n">
        <v>0</v>
      </c>
      <c r="F46" s="7" t="n">
        <v>0</v>
      </c>
      <c r="G46" s="7" t="n">
        <v>0</v>
      </c>
      <c r="H46" s="7" t="n">
        <v>38.5</v>
      </c>
    </row>
    <row r="47">
      <c r="A47" s="6" t="inlineStr">
        <is>
          <t>V RAMJI</t>
        </is>
      </c>
      <c r="B47" s="6" t="inlineStr">
        <is>
          <t>PKNG SLEEVING</t>
        </is>
      </c>
      <c r="C47" s="7" t="n">
        <v>693</v>
      </c>
      <c r="D47" s="7" t="n">
        <v>41.25</v>
      </c>
      <c r="E47" s="7" t="n">
        <v>12</v>
      </c>
      <c r="F47" s="7" t="n">
        <v>0</v>
      </c>
      <c r="G47" s="7" t="n">
        <v>0</v>
      </c>
      <c r="H47" s="7" t="n">
        <v>53.25</v>
      </c>
    </row>
    <row r="48">
      <c r="A48" s="6" t="inlineStr">
        <is>
          <t>J SOMA CHAVDA</t>
        </is>
      </c>
      <c r="B48" s="6" t="inlineStr">
        <is>
          <t>PKNG SLEEVING</t>
        </is>
      </c>
      <c r="C48" s="7" t="n">
        <v>715</v>
      </c>
      <c r="D48" s="7" t="n">
        <v>0</v>
      </c>
      <c r="E48" s="7" t="n">
        <v>0</v>
      </c>
      <c r="F48" s="7" t="n">
        <v>0</v>
      </c>
      <c r="G48" s="7" t="n">
        <v>40</v>
      </c>
      <c r="H48" s="7" t="n">
        <v>40</v>
      </c>
    </row>
    <row r="49">
      <c r="A49" s="6" t="inlineStr">
        <is>
          <t>D TULSHIDAS</t>
        </is>
      </c>
      <c r="B49" s="6" t="inlineStr">
        <is>
          <t>PKNG SLEEVING</t>
        </is>
      </c>
      <c r="C49" s="7" t="n">
        <v>719</v>
      </c>
      <c r="D49" s="7" t="n">
        <v>41.25</v>
      </c>
      <c r="E49" s="7" t="n">
        <v>1</v>
      </c>
      <c r="F49" s="7" t="n">
        <v>0</v>
      </c>
      <c r="G49" s="7" t="n">
        <v>0</v>
      </c>
      <c r="H49" s="7" t="n">
        <v>42.25</v>
      </c>
    </row>
    <row r="50">
      <c r="A50" s="6" t="inlineStr">
        <is>
          <t>U BHARAT</t>
        </is>
      </c>
      <c r="B50" s="6" t="inlineStr">
        <is>
          <t>PROD BELT</t>
        </is>
      </c>
      <c r="C50" s="7" t="n">
        <v>646</v>
      </c>
      <c r="D50" s="7" t="n">
        <v>39.5</v>
      </c>
      <c r="E50" s="7" t="n">
        <v>0</v>
      </c>
      <c r="F50" s="7" t="n">
        <v>0</v>
      </c>
      <c r="G50" s="7" t="n">
        <v>0</v>
      </c>
      <c r="H50" s="7" t="n">
        <v>39.5</v>
      </c>
    </row>
    <row r="51">
      <c r="A51" s="6" t="inlineStr">
        <is>
          <t>A DANGAR</t>
        </is>
      </c>
      <c r="B51" s="6" t="inlineStr">
        <is>
          <t>PROD BELT</t>
        </is>
      </c>
      <c r="C51" s="7" t="n">
        <v>124</v>
      </c>
      <c r="D51" s="7" t="n">
        <v>32</v>
      </c>
      <c r="E51" s="7" t="n">
        <v>0</v>
      </c>
      <c r="F51" s="7" t="n">
        <v>0</v>
      </c>
      <c r="G51" s="7" t="n">
        <v>0</v>
      </c>
      <c r="H51" s="7" t="n">
        <v>32</v>
      </c>
    </row>
    <row r="52">
      <c r="A52" s="6" t="inlineStr">
        <is>
          <t>L DEVI THAPA</t>
        </is>
      </c>
      <c r="B52" s="6" t="inlineStr">
        <is>
          <t>PROD BELT</t>
        </is>
      </c>
      <c r="C52" s="7" t="n">
        <v>645</v>
      </c>
      <c r="D52" s="7" t="n">
        <v>38</v>
      </c>
      <c r="E52" s="7" t="n">
        <v>0</v>
      </c>
      <c r="F52" s="7" t="n">
        <v>0</v>
      </c>
      <c r="G52" s="7" t="n">
        <v>0</v>
      </c>
      <c r="H52" s="7" t="n">
        <v>38</v>
      </c>
    </row>
    <row r="53">
      <c r="A53" s="6" t="inlineStr">
        <is>
          <t>J DEVJI</t>
        </is>
      </c>
      <c r="B53" s="6" t="inlineStr">
        <is>
          <t>PROD BELT</t>
        </is>
      </c>
      <c r="C53" s="7" t="n">
        <v>662</v>
      </c>
      <c r="D53" s="7" t="n">
        <v>31.25</v>
      </c>
      <c r="E53" s="7" t="n">
        <v>0</v>
      </c>
      <c r="F53" s="7" t="n">
        <v>0</v>
      </c>
      <c r="G53" s="7" t="n">
        <v>0</v>
      </c>
      <c r="H53" s="7" t="n">
        <v>31.25</v>
      </c>
    </row>
    <row r="54">
      <c r="A54" s="6" t="inlineStr">
        <is>
          <t>L GIVA</t>
        </is>
      </c>
      <c r="B54" s="6" t="inlineStr">
        <is>
          <t>PROD BELT</t>
        </is>
      </c>
      <c r="C54" s="7" t="n">
        <v>584</v>
      </c>
      <c r="D54" s="7" t="n">
        <v>35</v>
      </c>
      <c r="E54" s="7" t="n">
        <v>0</v>
      </c>
      <c r="F54" s="7" t="n">
        <v>0</v>
      </c>
      <c r="G54" s="7" t="n">
        <v>0</v>
      </c>
      <c r="H54" s="7" t="n">
        <v>35</v>
      </c>
    </row>
    <row r="55">
      <c r="A55" s="6" t="inlineStr">
        <is>
          <t>B GURUNG</t>
        </is>
      </c>
      <c r="B55" s="6" t="inlineStr">
        <is>
          <t>PROD BELT</t>
        </is>
      </c>
      <c r="C55" s="7" t="n">
        <v>40</v>
      </c>
      <c r="D55" s="7" t="n">
        <v>32.25</v>
      </c>
      <c r="E55" s="7" t="n">
        <v>0</v>
      </c>
      <c r="F55" s="7" t="n">
        <v>0</v>
      </c>
      <c r="G55" s="7" t="n">
        <v>0</v>
      </c>
      <c r="H55" s="7" t="n">
        <v>32.25</v>
      </c>
    </row>
    <row r="56">
      <c r="A56" s="6" t="inlineStr">
        <is>
          <t>E KECZAN</t>
        </is>
      </c>
      <c r="B56" s="6" t="inlineStr">
        <is>
          <t>PROD BELT</t>
        </is>
      </c>
      <c r="C56" s="7" t="n">
        <v>204</v>
      </c>
      <c r="D56" s="7" t="n">
        <v>32.5</v>
      </c>
      <c r="E56" s="7" t="n">
        <v>0</v>
      </c>
      <c r="F56" s="7" t="n">
        <v>0</v>
      </c>
      <c r="G56" s="7" t="n">
        <v>0</v>
      </c>
      <c r="H56" s="7" t="n">
        <v>32.5</v>
      </c>
    </row>
    <row r="57">
      <c r="A57" s="6" t="inlineStr">
        <is>
          <t>M MAHENDRA</t>
        </is>
      </c>
      <c r="B57" s="6" t="inlineStr">
        <is>
          <t>PROD BELT</t>
        </is>
      </c>
      <c r="C57" s="7" t="n">
        <v>746</v>
      </c>
      <c r="D57" s="7" t="n">
        <v>35.5</v>
      </c>
      <c r="E57" s="7" t="n">
        <v>0</v>
      </c>
      <c r="F57" s="7" t="n">
        <v>0</v>
      </c>
      <c r="G57" s="7" t="n">
        <v>0</v>
      </c>
      <c r="H57" s="7" t="n">
        <v>35.5</v>
      </c>
    </row>
    <row r="58">
      <c r="A58" s="6" t="inlineStr">
        <is>
          <t>V PATEL</t>
        </is>
      </c>
      <c r="B58" s="6" t="inlineStr">
        <is>
          <t>PROD BELT</t>
        </is>
      </c>
      <c r="C58" s="7" t="n">
        <v>18</v>
      </c>
      <c r="D58" s="7" t="n">
        <v>26.75</v>
      </c>
      <c r="E58" s="7" t="n">
        <v>0</v>
      </c>
      <c r="F58" s="7" t="n">
        <v>0</v>
      </c>
      <c r="G58" s="7" t="n">
        <v>0</v>
      </c>
      <c r="H58" s="7" t="n">
        <v>26.75</v>
      </c>
    </row>
    <row r="59">
      <c r="A59" s="6" t="inlineStr">
        <is>
          <t>V PILLAIYANAR</t>
        </is>
      </c>
      <c r="B59" s="6" t="inlineStr">
        <is>
          <t>PROD BELT</t>
        </is>
      </c>
      <c r="C59" s="7" t="n">
        <v>150</v>
      </c>
      <c r="D59" s="7" t="n">
        <v>34.5</v>
      </c>
      <c r="E59" s="7" t="n">
        <v>0</v>
      </c>
      <c r="F59" s="7" t="n">
        <v>0</v>
      </c>
      <c r="G59" s="7" t="n">
        <v>0</v>
      </c>
      <c r="H59" s="7" t="n">
        <v>34.5</v>
      </c>
    </row>
    <row r="60">
      <c r="A60" s="6" t="inlineStr">
        <is>
          <t>D RAJA</t>
        </is>
      </c>
      <c r="B60" s="6" t="inlineStr">
        <is>
          <t>PROD BELT</t>
        </is>
      </c>
      <c r="C60" s="7" t="n">
        <v>550</v>
      </c>
      <c r="D60" s="7" t="n">
        <v>34</v>
      </c>
      <c r="E60" s="7" t="n">
        <v>0</v>
      </c>
      <c r="F60" s="7" t="n">
        <v>0</v>
      </c>
      <c r="G60" s="7" t="n">
        <v>0</v>
      </c>
      <c r="H60" s="7" t="n">
        <v>34</v>
      </c>
    </row>
    <row r="61">
      <c r="A61" s="6" t="inlineStr">
        <is>
          <t>U RAMESH</t>
        </is>
      </c>
      <c r="B61" s="6" t="inlineStr">
        <is>
          <t>PROD BELT</t>
        </is>
      </c>
      <c r="C61" s="7" t="n">
        <v>733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</row>
    <row r="62">
      <c r="A62" s="6" t="inlineStr">
        <is>
          <t>U SHRESTHA</t>
        </is>
      </c>
      <c r="B62" s="6" t="inlineStr">
        <is>
          <t>PROD BELT</t>
        </is>
      </c>
      <c r="C62" s="7" t="n">
        <v>330</v>
      </c>
      <c r="D62" s="7" t="n">
        <v>31.25</v>
      </c>
      <c r="E62" s="7" t="n">
        <v>0</v>
      </c>
      <c r="F62" s="7" t="n">
        <v>0</v>
      </c>
      <c r="G62" s="7" t="n">
        <v>0</v>
      </c>
      <c r="H62" s="7" t="n">
        <v>31.25</v>
      </c>
    </row>
    <row r="63">
      <c r="A63" s="6" t="inlineStr">
        <is>
          <t>A THAKKAR</t>
        </is>
      </c>
      <c r="B63" s="6" t="inlineStr">
        <is>
          <t>PROD BELT</t>
        </is>
      </c>
      <c r="C63" s="7" t="n">
        <v>50</v>
      </c>
      <c r="D63" s="7" t="n">
        <v>31.75</v>
      </c>
      <c r="E63" s="7" t="n">
        <v>0</v>
      </c>
      <c r="F63" s="7" t="n">
        <v>0</v>
      </c>
      <c r="G63" s="7" t="n">
        <v>0</v>
      </c>
      <c r="H63" s="7" t="n">
        <v>31.75</v>
      </c>
    </row>
    <row r="64">
      <c r="A64" s="6" t="inlineStr">
        <is>
          <t>N UCARO</t>
        </is>
      </c>
      <c r="B64" s="6" t="inlineStr">
        <is>
          <t>PROD BELT</t>
        </is>
      </c>
      <c r="C64" s="7" t="n">
        <v>663</v>
      </c>
      <c r="D64" s="7" t="n">
        <v>32</v>
      </c>
      <c r="E64" s="7" t="n">
        <v>0</v>
      </c>
      <c r="F64" s="7" t="n">
        <v>0</v>
      </c>
      <c r="G64" s="7" t="n">
        <v>0</v>
      </c>
      <c r="H64" s="7" t="n">
        <v>32</v>
      </c>
    </row>
    <row r="65">
      <c r="A65" s="6" t="inlineStr">
        <is>
          <t>H BHAGVAN</t>
        </is>
      </c>
      <c r="B65" s="6" t="inlineStr">
        <is>
          <t>PROD FORMING</t>
        </is>
      </c>
      <c r="C65" s="7" t="n">
        <v>741</v>
      </c>
      <c r="D65" s="7" t="n">
        <v>41.25</v>
      </c>
      <c r="E65" s="7" t="n">
        <v>5.25</v>
      </c>
      <c r="F65" s="7" t="n">
        <v>0</v>
      </c>
      <c r="G65" s="7" t="n">
        <v>0</v>
      </c>
      <c r="H65" s="7" t="n">
        <v>46.5</v>
      </c>
    </row>
    <row r="66">
      <c r="A66" s="6" t="inlineStr">
        <is>
          <t>H CALA</t>
        </is>
      </c>
      <c r="B66" s="6" t="inlineStr">
        <is>
          <t>PROD FORMING</t>
        </is>
      </c>
      <c r="C66" s="7" t="n">
        <v>606</v>
      </c>
      <c r="D66" s="7" t="n">
        <v>40</v>
      </c>
      <c r="E66" s="7" t="n">
        <v>0</v>
      </c>
      <c r="F66" s="7" t="n">
        <v>0</v>
      </c>
      <c r="G66" s="7" t="n">
        <v>0</v>
      </c>
      <c r="H66" s="7" t="n">
        <v>40</v>
      </c>
    </row>
    <row r="67">
      <c r="A67" s="6" t="inlineStr">
        <is>
          <t>A CARVALHO</t>
        </is>
      </c>
      <c r="B67" s="6" t="inlineStr">
        <is>
          <t>PROD FORMING</t>
        </is>
      </c>
      <c r="C67" s="7" t="n">
        <v>444</v>
      </c>
      <c r="D67" s="7" t="n">
        <v>15.25</v>
      </c>
      <c r="E67" s="7" t="n">
        <v>0</v>
      </c>
      <c r="F67" s="7" t="n">
        <v>0</v>
      </c>
      <c r="G67" s="7" t="n">
        <v>0</v>
      </c>
      <c r="H67" s="7" t="n">
        <v>15.25</v>
      </c>
    </row>
    <row r="68">
      <c r="A68" s="6" t="inlineStr">
        <is>
          <t>U HARJI</t>
        </is>
      </c>
      <c r="B68" s="6" t="inlineStr">
        <is>
          <t>PROD FORMING</t>
        </is>
      </c>
      <c r="C68" s="7" t="n">
        <v>739</v>
      </c>
      <c r="D68" s="7" t="n">
        <v>31</v>
      </c>
      <c r="E68" s="7" t="n">
        <v>0</v>
      </c>
      <c r="F68" s="7" t="n">
        <v>0</v>
      </c>
      <c r="G68" s="7" t="n">
        <v>0</v>
      </c>
      <c r="H68" s="7" t="n">
        <v>31</v>
      </c>
    </row>
    <row r="69">
      <c r="A69" s="6" t="inlineStr">
        <is>
          <t>B NARSINH VAISHYA</t>
        </is>
      </c>
      <c r="B69" s="6" t="inlineStr">
        <is>
          <t>PROD FORMING</t>
        </is>
      </c>
      <c r="C69" s="7" t="n">
        <v>738</v>
      </c>
      <c r="D69" s="7" t="n">
        <v>31.5</v>
      </c>
      <c r="E69" s="7" t="n">
        <v>0</v>
      </c>
      <c r="F69" s="7" t="n">
        <v>0</v>
      </c>
      <c r="G69" s="7" t="n">
        <v>0</v>
      </c>
      <c r="H69" s="7" t="n">
        <v>31.5</v>
      </c>
    </row>
    <row r="70">
      <c r="A70" s="6" t="inlineStr">
        <is>
          <t>S VARJANGUE</t>
        </is>
      </c>
      <c r="B70" s="6" t="inlineStr">
        <is>
          <t>PROD FORMING</t>
        </is>
      </c>
      <c r="C70" s="7" t="n">
        <v>528</v>
      </c>
      <c r="D70" s="7" t="n">
        <v>23.25</v>
      </c>
      <c r="E70" s="7" t="n">
        <v>0.5</v>
      </c>
      <c r="F70" s="7" t="n">
        <v>0</v>
      </c>
      <c r="G70" s="7" t="n">
        <v>16</v>
      </c>
      <c r="H70" s="7" t="n">
        <v>39.75</v>
      </c>
    </row>
    <row r="71">
      <c r="A71" s="6" t="inlineStr">
        <is>
          <t>A AKRITI</t>
        </is>
      </c>
      <c r="B71" s="6" t="inlineStr">
        <is>
          <t>PROD FRYING</t>
        </is>
      </c>
      <c r="C71" s="7" t="n">
        <v>709</v>
      </c>
      <c r="D71" s="7" t="n">
        <v>24.5</v>
      </c>
      <c r="E71" s="7" t="n">
        <v>0</v>
      </c>
      <c r="F71" s="7" t="n">
        <v>0</v>
      </c>
      <c r="G71" s="7" t="n">
        <v>0</v>
      </c>
      <c r="H71" s="7" t="n">
        <v>24.5</v>
      </c>
    </row>
    <row r="72">
      <c r="A72" s="6" t="inlineStr">
        <is>
          <t>R BAHADUR BHANDARI</t>
        </is>
      </c>
      <c r="B72" s="6" t="inlineStr">
        <is>
          <t>PROD FRYING</t>
        </is>
      </c>
      <c r="C72" s="7" t="n">
        <v>700</v>
      </c>
      <c r="D72" s="7" t="n">
        <v>33.25</v>
      </c>
      <c r="E72" s="7" t="n">
        <v>6.5</v>
      </c>
      <c r="F72" s="7" t="n">
        <v>0</v>
      </c>
      <c r="G72" s="7" t="n">
        <v>8</v>
      </c>
      <c r="H72" s="7" t="n">
        <v>47.75</v>
      </c>
    </row>
    <row r="73">
      <c r="A73" s="6" t="inlineStr">
        <is>
          <t>P BAHADUR JIREL</t>
        </is>
      </c>
      <c r="B73" s="6" t="inlineStr">
        <is>
          <t>PROD FRYING</t>
        </is>
      </c>
      <c r="C73" s="7" t="n">
        <v>578</v>
      </c>
      <c r="D73" s="7" t="n">
        <v>25.75</v>
      </c>
      <c r="E73" s="7" t="n">
        <v>0</v>
      </c>
      <c r="F73" s="7" t="n">
        <v>0</v>
      </c>
      <c r="G73" s="7" t="n">
        <v>0</v>
      </c>
      <c r="H73" s="7" t="n">
        <v>25.75</v>
      </c>
    </row>
    <row r="74">
      <c r="A74" s="6" t="inlineStr">
        <is>
          <t>L BUTIENE</t>
        </is>
      </c>
      <c r="B74" s="6" t="inlineStr">
        <is>
          <t>PROD FRYING</t>
        </is>
      </c>
      <c r="C74" s="7" t="n">
        <v>21</v>
      </c>
      <c r="D74" s="7" t="n">
        <v>26.75</v>
      </c>
      <c r="E74" s="7" t="n">
        <v>0</v>
      </c>
      <c r="F74" s="7" t="n">
        <v>0</v>
      </c>
      <c r="G74" s="7" t="n">
        <v>0</v>
      </c>
      <c r="H74" s="7" t="n">
        <v>26.75</v>
      </c>
    </row>
    <row r="75">
      <c r="A75" s="6" t="inlineStr">
        <is>
          <t>J HANSRAJBHAI VAGHASIYA</t>
        </is>
      </c>
      <c r="B75" s="6" t="inlineStr">
        <is>
          <t>PROD FRYING</t>
        </is>
      </c>
      <c r="C75" s="7" t="n">
        <v>740</v>
      </c>
      <c r="D75" s="7" t="n">
        <v>37</v>
      </c>
      <c r="E75" s="7" t="n">
        <v>0</v>
      </c>
      <c r="F75" s="7" t="n">
        <v>0</v>
      </c>
      <c r="G75" s="7" t="n">
        <v>0</v>
      </c>
      <c r="H75" s="7" t="n">
        <v>37</v>
      </c>
    </row>
    <row r="76">
      <c r="A76" s="6" t="inlineStr">
        <is>
          <t>D RAMA</t>
        </is>
      </c>
      <c r="B76" s="6" t="inlineStr">
        <is>
          <t>PROD FRYING</t>
        </is>
      </c>
      <c r="C76" s="7" t="n">
        <v>708</v>
      </c>
      <c r="D76" s="7" t="n">
        <v>36.25</v>
      </c>
      <c r="E76" s="7" t="n">
        <v>0</v>
      </c>
      <c r="F76" s="7" t="n">
        <v>0</v>
      </c>
      <c r="G76" s="7" t="n">
        <v>0</v>
      </c>
      <c r="H76" s="7" t="n">
        <v>36.25</v>
      </c>
    </row>
    <row r="77">
      <c r="A77" s="6" t="inlineStr">
        <is>
          <t>S RAMJI</t>
        </is>
      </c>
      <c r="B77" s="6" t="inlineStr">
        <is>
          <t>PROD FRYING</t>
        </is>
      </c>
      <c r="C77" s="7" t="n">
        <v>742</v>
      </c>
      <c r="D77" s="7" t="n">
        <v>34</v>
      </c>
      <c r="E77" s="7" t="n">
        <v>0</v>
      </c>
      <c r="F77" s="7" t="n">
        <v>0</v>
      </c>
      <c r="G77" s="7" t="n">
        <v>0</v>
      </c>
      <c r="H77" s="7" t="n">
        <v>34</v>
      </c>
    </row>
    <row r="78">
      <c r="A78" s="6" t="inlineStr">
        <is>
          <t>S ADHIKARI KARKI</t>
        </is>
      </c>
      <c r="B78" s="6" t="inlineStr">
        <is>
          <t>PROD PREPARATION</t>
        </is>
      </c>
      <c r="C78" s="7" t="n">
        <v>736</v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</row>
    <row r="79">
      <c r="A79" s="6" t="inlineStr">
        <is>
          <t>P CANGI</t>
        </is>
      </c>
      <c r="B79" s="6" t="inlineStr">
        <is>
          <t>PROD PREPARATION</t>
        </is>
      </c>
      <c r="C79" s="7" t="n">
        <v>483</v>
      </c>
      <c r="D79" s="7" t="n">
        <v>27.5</v>
      </c>
      <c r="E79" s="7" t="n">
        <v>0</v>
      </c>
      <c r="F79" s="7" t="n">
        <v>0</v>
      </c>
      <c r="G79" s="7" t="n">
        <v>0</v>
      </c>
      <c r="H79" s="7" t="n">
        <v>27.5</v>
      </c>
    </row>
    <row r="80">
      <c r="A80" s="6" t="inlineStr">
        <is>
          <t>R FRANCISCO FERNANDES</t>
        </is>
      </c>
      <c r="B80" s="6" t="inlineStr">
        <is>
          <t>PROD PREPARATION</t>
        </is>
      </c>
      <c r="C80" s="7" t="n">
        <v>613</v>
      </c>
      <c r="D80" s="7" t="n">
        <v>0</v>
      </c>
      <c r="E80" s="7" t="n">
        <v>0</v>
      </c>
      <c r="F80" s="7" t="n">
        <v>0</v>
      </c>
      <c r="G80" s="7" t="n">
        <v>8</v>
      </c>
      <c r="H80" s="7" t="n">
        <v>8</v>
      </c>
    </row>
    <row r="81">
      <c r="A81" s="6" t="inlineStr">
        <is>
          <t>Y JAGDISH</t>
        </is>
      </c>
      <c r="B81" s="6" t="inlineStr">
        <is>
          <t>PROD PREPARATION</t>
        </is>
      </c>
      <c r="C81" s="7" t="n">
        <v>745</v>
      </c>
      <c r="D81" s="7" t="n">
        <v>41.25</v>
      </c>
      <c r="E81" s="7" t="n">
        <v>11.75</v>
      </c>
      <c r="F81" s="7" t="n">
        <v>0</v>
      </c>
      <c r="G81" s="7" t="n">
        <v>0</v>
      </c>
      <c r="H81" s="7" t="n">
        <v>53</v>
      </c>
    </row>
    <row r="82">
      <c r="A82" s="6" t="inlineStr">
        <is>
          <t>C JOAO DA SILVA</t>
        </is>
      </c>
      <c r="B82" s="6" t="inlineStr">
        <is>
          <t>PROD PREPARATION</t>
        </is>
      </c>
      <c r="C82" s="7" t="n">
        <v>627</v>
      </c>
      <c r="D82" s="7" t="n">
        <v>41.25</v>
      </c>
      <c r="E82" s="7" t="n">
        <v>8.75</v>
      </c>
      <c r="F82" s="7" t="n">
        <v>0</v>
      </c>
      <c r="G82" s="7" t="n">
        <v>0</v>
      </c>
      <c r="H82" s="7" t="n">
        <v>50</v>
      </c>
    </row>
    <row r="83">
      <c r="A83" s="6" t="inlineStr">
        <is>
          <t>E KACZMAREK</t>
        </is>
      </c>
      <c r="B83" s="6" t="inlineStr">
        <is>
          <t>PROD PREPARATION</t>
        </is>
      </c>
      <c r="C83" s="7" t="n">
        <v>263</v>
      </c>
      <c r="D83" s="7" t="n">
        <v>37</v>
      </c>
      <c r="E83" s="7" t="n">
        <v>0</v>
      </c>
      <c r="F83" s="7" t="n">
        <v>0</v>
      </c>
      <c r="G83" s="7" t="n">
        <v>0</v>
      </c>
      <c r="H83" s="7" t="n">
        <v>37</v>
      </c>
    </row>
    <row r="84">
      <c r="A84" s="6" t="inlineStr">
        <is>
          <t>F MINGUEL</t>
        </is>
      </c>
      <c r="B84" s="6" t="inlineStr">
        <is>
          <t>PROD PREPARATION</t>
        </is>
      </c>
      <c r="C84" s="7" t="n">
        <v>485</v>
      </c>
      <c r="D84" s="7" t="n">
        <v>41.25</v>
      </c>
      <c r="E84" s="7" t="n">
        <v>11.75</v>
      </c>
      <c r="F84" s="7" t="n">
        <v>0</v>
      </c>
      <c r="G84" s="7" t="n">
        <v>0</v>
      </c>
      <c r="H84" s="7" t="n">
        <v>53</v>
      </c>
    </row>
    <row r="85">
      <c r="A85" s="6" t="inlineStr">
        <is>
          <t>L PEREIRA</t>
        </is>
      </c>
      <c r="B85" s="6" t="inlineStr">
        <is>
          <t>PROD PREPARATION</t>
        </is>
      </c>
      <c r="C85" s="7" t="n">
        <v>583</v>
      </c>
      <c r="D85" s="7" t="n">
        <v>41.25</v>
      </c>
      <c r="E85" s="7" t="n">
        <v>10</v>
      </c>
      <c r="F85" s="7" t="n">
        <v>0</v>
      </c>
      <c r="G85" s="7" t="n">
        <v>0</v>
      </c>
      <c r="H85" s="7" t="n">
        <v>51.25</v>
      </c>
    </row>
    <row r="86">
      <c r="A86" s="6" t="inlineStr">
        <is>
          <t>A SILVA</t>
        </is>
      </c>
      <c r="B86" s="6" t="inlineStr">
        <is>
          <t>PROD PREPARATION</t>
        </is>
      </c>
      <c r="C86" s="7" t="n">
        <v>546</v>
      </c>
      <c r="D86" s="7" t="n">
        <v>41.25</v>
      </c>
      <c r="E86" s="7" t="n">
        <v>14</v>
      </c>
      <c r="F86" s="7" t="n">
        <v>0</v>
      </c>
      <c r="G86" s="7" t="n">
        <v>0</v>
      </c>
      <c r="H86" s="7" t="n">
        <v>55.25</v>
      </c>
    </row>
    <row r="87">
      <c r="A87" s="6" t="inlineStr">
        <is>
          <t>G SINGH</t>
        </is>
      </c>
      <c r="B87" s="6" t="inlineStr">
        <is>
          <t>PROD PREPARATION</t>
        </is>
      </c>
      <c r="C87" s="7" t="n">
        <v>675</v>
      </c>
      <c r="D87" s="7" t="n">
        <v>41.25</v>
      </c>
      <c r="E87" s="7" t="n">
        <v>7.75</v>
      </c>
      <c r="F87" s="7" t="n">
        <v>0</v>
      </c>
      <c r="G87" s="7" t="n">
        <v>0</v>
      </c>
      <c r="H87" s="7" t="n">
        <v>49</v>
      </c>
    </row>
    <row r="88">
      <c r="A88" s="6" t="inlineStr">
        <is>
          <t>R VIRA</t>
        </is>
      </c>
      <c r="B88" s="6" t="inlineStr">
        <is>
          <t>PROD PREPARATION</t>
        </is>
      </c>
      <c r="C88" s="7" t="n">
        <v>728</v>
      </c>
      <c r="D88" s="7" t="n">
        <v>41.25</v>
      </c>
      <c r="E88" s="7" t="n">
        <v>14.25</v>
      </c>
      <c r="F88" s="7" t="n">
        <v>0</v>
      </c>
      <c r="G88" s="7" t="n">
        <v>0</v>
      </c>
      <c r="H88" s="7" t="n">
        <v>55.5</v>
      </c>
    </row>
    <row r="89">
      <c r="A89" s="6" t="inlineStr">
        <is>
          <t>M HIMANSHU</t>
        </is>
      </c>
      <c r="B89" s="6" t="inlineStr">
        <is>
          <t>PROD TABLE</t>
        </is>
      </c>
      <c r="C89" s="7" t="n">
        <v>702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</row>
    <row r="90">
      <c r="A90" s="6" t="inlineStr">
        <is>
          <t>B IRA</t>
        </is>
      </c>
      <c r="B90" s="6" t="inlineStr">
        <is>
          <t>PROD TABLE</t>
        </is>
      </c>
      <c r="C90" s="7" t="n">
        <v>703</v>
      </c>
      <c r="D90" s="7" t="n">
        <v>28.25</v>
      </c>
      <c r="E90" s="7" t="n">
        <v>0</v>
      </c>
      <c r="F90" s="7" t="n">
        <v>0</v>
      </c>
      <c r="G90" s="7" t="n">
        <v>0</v>
      </c>
      <c r="H90" s="7" t="n">
        <v>28.25</v>
      </c>
    </row>
    <row r="91">
      <c r="A91" s="6" t="inlineStr">
        <is>
          <t>S JIREL</t>
        </is>
      </c>
      <c r="B91" s="6" t="inlineStr">
        <is>
          <t>PROD TABLE</t>
        </is>
      </c>
      <c r="C91" s="7" t="n">
        <v>711</v>
      </c>
      <c r="D91" s="7" t="n">
        <v>31.5</v>
      </c>
      <c r="E91" s="7" t="n">
        <v>0</v>
      </c>
      <c r="F91" s="7" t="n">
        <v>0</v>
      </c>
      <c r="G91" s="7" t="n">
        <v>0</v>
      </c>
      <c r="H91" s="7" t="n">
        <v>31.5</v>
      </c>
    </row>
    <row r="92">
      <c r="A92" s="6" t="inlineStr">
        <is>
          <t>P LACMANE</t>
        </is>
      </c>
      <c r="B92" s="6" t="inlineStr">
        <is>
          <t>PROD TABLE</t>
        </is>
      </c>
      <c r="C92" s="7" t="n">
        <v>440</v>
      </c>
      <c r="D92" s="7" t="n">
        <v>31.25</v>
      </c>
      <c r="E92" s="7" t="n">
        <v>0</v>
      </c>
      <c r="F92" s="7" t="n">
        <v>0</v>
      </c>
      <c r="G92" s="7" t="n">
        <v>0</v>
      </c>
      <c r="H92" s="7" t="n">
        <v>31.25</v>
      </c>
    </row>
    <row r="93">
      <c r="A93" s="6" t="inlineStr">
        <is>
          <t>R RATNA</t>
        </is>
      </c>
      <c r="B93" s="6" t="inlineStr">
        <is>
          <t>PROD TABLE</t>
        </is>
      </c>
      <c r="C93" s="7" t="n">
        <v>615</v>
      </c>
      <c r="D93" s="7" t="n">
        <v>0</v>
      </c>
      <c r="E93" s="7" t="n">
        <v>0</v>
      </c>
      <c r="F93" s="7" t="n">
        <v>0</v>
      </c>
      <c r="G93" s="7" t="n">
        <v>40</v>
      </c>
      <c r="H93" s="7" t="n">
        <v>40</v>
      </c>
    </row>
    <row r="94">
      <c r="A94" s="6" t="inlineStr">
        <is>
          <t>L SHAVJI</t>
        </is>
      </c>
      <c r="B94" s="6" t="inlineStr">
        <is>
          <t>PROD TABLE</t>
        </is>
      </c>
      <c r="C94" s="7" t="n">
        <v>699</v>
      </c>
      <c r="D94" s="7" t="n">
        <v>32</v>
      </c>
      <c r="E94" s="7" t="n">
        <v>0</v>
      </c>
      <c r="F94" s="7" t="n">
        <v>0</v>
      </c>
      <c r="G94" s="7" t="n">
        <v>0</v>
      </c>
      <c r="H94" s="7" t="n">
        <v>32</v>
      </c>
    </row>
    <row r="95">
      <c r="A95" s="6" t="inlineStr">
        <is>
          <t>B TEJESKUMAR</t>
        </is>
      </c>
      <c r="B95" s="6" t="inlineStr">
        <is>
          <t>PROD TABLE</t>
        </is>
      </c>
      <c r="C95" s="7" t="n">
        <v>722</v>
      </c>
      <c r="D95" s="7" t="n">
        <v>22</v>
      </c>
      <c r="E95" s="7" t="n">
        <v>0</v>
      </c>
      <c r="F95" s="7" t="n">
        <v>0</v>
      </c>
      <c r="G95" s="7" t="n">
        <v>0</v>
      </c>
      <c r="H95" s="7" t="n">
        <v>22</v>
      </c>
    </row>
    <row r="96">
      <c r="A96" s="6" t="inlineStr">
        <is>
          <t>M VAHORA</t>
        </is>
      </c>
      <c r="B96" s="6" t="inlineStr">
        <is>
          <t>PROD TABLE</t>
        </is>
      </c>
      <c r="C96" s="7" t="n">
        <v>414</v>
      </c>
      <c r="D96" s="7" t="n">
        <v>19</v>
      </c>
      <c r="E96" s="7" t="n">
        <v>0</v>
      </c>
      <c r="F96" s="7" t="n">
        <v>0</v>
      </c>
      <c r="G96" s="7" t="n">
        <v>16</v>
      </c>
      <c r="H96" s="7" t="n">
        <v>35</v>
      </c>
    </row>
    <row r="97">
      <c r="A97" s="6" t="inlineStr">
        <is>
          <t>A ALI  SALLAM</t>
        </is>
      </c>
      <c r="B97" s="6" t="inlineStr">
        <is>
          <t>TECH TECHNICAL</t>
        </is>
      </c>
      <c r="C97" s="7" t="n">
        <v>523</v>
      </c>
      <c r="D97" s="7" t="n">
        <v>40.25</v>
      </c>
      <c r="E97" s="7" t="n">
        <v>0</v>
      </c>
      <c r="F97" s="7" t="n">
        <v>0</v>
      </c>
      <c r="G97" s="7" t="n">
        <v>0</v>
      </c>
      <c r="H97" s="7" t="n">
        <v>40.25</v>
      </c>
    </row>
    <row r="98">
      <c r="A98" s="6" t="inlineStr">
        <is>
          <t>P KAUR</t>
        </is>
      </c>
      <c r="B98" s="6" t="inlineStr">
        <is>
          <t>TECH TECHNICAL</t>
        </is>
      </c>
      <c r="C98" s="7" t="n">
        <v>417</v>
      </c>
      <c r="D98" s="7" t="n">
        <v>37.25</v>
      </c>
      <c r="E98" s="7" t="n">
        <v>0.25</v>
      </c>
      <c r="F98" s="7" t="n">
        <v>0</v>
      </c>
      <c r="G98" s="7" t="n">
        <v>4</v>
      </c>
      <c r="H98" s="7" t="n">
        <v>41.5</v>
      </c>
    </row>
    <row r="99">
      <c r="A99" s="6" t="inlineStr">
        <is>
          <t>J PATEL</t>
        </is>
      </c>
      <c r="B99" s="6" t="inlineStr">
        <is>
          <t>TECH TECHNICAL</t>
        </is>
      </c>
      <c r="C99" s="7" t="n">
        <v>678</v>
      </c>
      <c r="D99" s="7" t="n">
        <v>41.25</v>
      </c>
      <c r="E99" s="7" t="n">
        <v>1.25</v>
      </c>
      <c r="F99" s="7" t="n">
        <v>0</v>
      </c>
      <c r="G99" s="7" t="n">
        <v>0</v>
      </c>
      <c r="H99" s="7" t="n">
        <v>42.5</v>
      </c>
    </row>
    <row r="100">
      <c r="A100" s="6" t="inlineStr">
        <is>
          <t>H R DOMADIYA</t>
        </is>
      </c>
      <c r="B100" s="6" t="inlineStr">
        <is>
          <t>TECH TECHNICAL</t>
        </is>
      </c>
      <c r="C100" s="7" t="n">
        <v>682</v>
      </c>
      <c r="D100" s="7" t="n">
        <v>25.25</v>
      </c>
      <c r="E100" s="7" t="n">
        <v>1.5</v>
      </c>
      <c r="F100" s="7" t="n">
        <v>0</v>
      </c>
      <c r="G100" s="7" t="n">
        <v>16</v>
      </c>
      <c r="H100" s="7" t="n">
        <v>42.75</v>
      </c>
    </row>
    <row r="101">
      <c r="A101" s="6" t="inlineStr">
        <is>
          <t>M SHAH</t>
        </is>
      </c>
      <c r="B101" s="6" t="inlineStr">
        <is>
          <t>TECH TECHNICAL</t>
        </is>
      </c>
      <c r="C101" s="7" t="n">
        <v>308</v>
      </c>
      <c r="D101" s="7" t="n">
        <v>31.5</v>
      </c>
      <c r="E101" s="7" t="n">
        <v>0</v>
      </c>
      <c r="F101" s="7" t="n">
        <v>0</v>
      </c>
      <c r="G101" s="7" t="n">
        <v>0</v>
      </c>
      <c r="H101" s="7" t="n">
        <v>31.5</v>
      </c>
    </row>
    <row r="102">
      <c r="A102" s="6" t="inlineStr">
        <is>
          <t>A AMIT</t>
        </is>
      </c>
      <c r="B102" s="6" t="inlineStr">
        <is>
          <t>WRHS</t>
        </is>
      </c>
      <c r="C102" s="7" t="n">
        <v>674</v>
      </c>
      <c r="D102" s="7" t="n">
        <v>41</v>
      </c>
      <c r="E102" s="7" t="n">
        <v>7.5</v>
      </c>
      <c r="F102" s="7" t="n">
        <v>0</v>
      </c>
      <c r="G102" s="7" t="n">
        <v>0</v>
      </c>
      <c r="H102" s="7" t="n">
        <v>48.5</v>
      </c>
    </row>
    <row r="103">
      <c r="A103" s="6" t="inlineStr">
        <is>
          <t>W GRZEGORZ KOPACZ</t>
        </is>
      </c>
      <c r="B103" s="6" t="inlineStr">
        <is>
          <t>WRHS</t>
        </is>
      </c>
      <c r="C103" s="7" t="n">
        <v>592</v>
      </c>
      <c r="D103" s="7" t="n">
        <v>22.5</v>
      </c>
      <c r="E103" s="7" t="n">
        <v>0</v>
      </c>
      <c r="F103" s="7" t="n">
        <v>0</v>
      </c>
      <c r="G103" s="7" t="n">
        <v>16</v>
      </c>
      <c r="H103" s="7" t="n">
        <v>38.5</v>
      </c>
    </row>
    <row r="104">
      <c r="A104" s="6" t="inlineStr">
        <is>
          <t>A SAHOTA</t>
        </is>
      </c>
      <c r="B104" s="6" t="inlineStr">
        <is>
          <t>WRHS</t>
        </is>
      </c>
      <c r="C104" s="7" t="n">
        <v>680</v>
      </c>
      <c r="D104" s="7" t="n">
        <v>41.25</v>
      </c>
      <c r="E104" s="7" t="n">
        <v>9</v>
      </c>
      <c r="F104" s="7" t="n">
        <v>0</v>
      </c>
      <c r="G104" s="7" t="n">
        <v>0</v>
      </c>
      <c r="H104" s="7" t="n">
        <v>50.25</v>
      </c>
    </row>
    <row r="105">
      <c r="A105" s="6" t="inlineStr">
        <is>
          <t>S SUBRAMANI</t>
        </is>
      </c>
      <c r="B105" s="6" t="inlineStr">
        <is>
          <t>WRHS</t>
        </is>
      </c>
      <c r="C105" s="7" t="n">
        <v>205</v>
      </c>
      <c r="D105" s="7" t="n">
        <v>29.75</v>
      </c>
      <c r="E105" s="7" t="n">
        <v>0</v>
      </c>
      <c r="F105" s="7" t="n">
        <v>7.75</v>
      </c>
      <c r="G105" s="7" t="n">
        <v>0</v>
      </c>
      <c r="H105" s="7" t="n">
        <v>37.5</v>
      </c>
    </row>
    <row r="106">
      <c r="A106" s="6" t="inlineStr">
        <is>
          <t>R BABU EOLL</t>
        </is>
      </c>
      <c r="B106" s="6" t="inlineStr">
        <is>
          <t>A-EL CLNR</t>
        </is>
      </c>
      <c r="C106" s="7" t="n">
        <v>0</v>
      </c>
      <c r="D106" s="7" t="n">
        <v>40.75</v>
      </c>
      <c r="E106" s="7" t="n">
        <v>0.5</v>
      </c>
      <c r="F106" s="7" t="n">
        <v>0</v>
      </c>
      <c r="G106" s="7" t="n">
        <v>0</v>
      </c>
      <c r="H106" s="7" t="n">
        <v>41.25</v>
      </c>
    </row>
    <row r="107">
      <c r="A107" s="6" t="inlineStr">
        <is>
          <t>D BAMANIA EOLL</t>
        </is>
      </c>
      <c r="B107" s="6" t="inlineStr">
        <is>
          <t>A-EL CLNR</t>
        </is>
      </c>
      <c r="C107" s="7" t="n">
        <v>0</v>
      </c>
      <c r="D107" s="7" t="n">
        <v>39.5</v>
      </c>
      <c r="E107" s="7" t="n">
        <v>0</v>
      </c>
      <c r="F107" s="7" t="n">
        <v>0</v>
      </c>
      <c r="G107" s="7" t="n">
        <v>0</v>
      </c>
      <c r="H107" s="7" t="n">
        <v>39.5</v>
      </c>
    </row>
    <row r="108">
      <c r="A108" s="6" t="inlineStr">
        <is>
          <t>S CHAGANA EOLL</t>
        </is>
      </c>
      <c r="B108" s="6" t="inlineStr">
        <is>
          <t>A-EL CLNR</t>
        </is>
      </c>
      <c r="C108" s="7" t="n">
        <v>0</v>
      </c>
      <c r="D108" s="7" t="n">
        <v>38</v>
      </c>
      <c r="E108" s="7" t="n">
        <v>0</v>
      </c>
      <c r="F108" s="7" t="n">
        <v>0</v>
      </c>
      <c r="G108" s="7" t="n">
        <v>0</v>
      </c>
      <c r="H108" s="7" t="n">
        <v>38</v>
      </c>
    </row>
    <row r="109">
      <c r="A109" s="6" t="inlineStr">
        <is>
          <t>K NATVAR EOLL</t>
        </is>
      </c>
      <c r="B109" s="6" t="inlineStr">
        <is>
          <t>A-EL CLNR</t>
        </is>
      </c>
      <c r="C109" s="7" t="n">
        <v>0</v>
      </c>
      <c r="D109" s="7" t="n">
        <v>38.75</v>
      </c>
      <c r="E109" s="7" t="n">
        <v>0</v>
      </c>
      <c r="F109" s="7" t="n">
        <v>0</v>
      </c>
      <c r="G109" s="7" t="n">
        <v>0</v>
      </c>
      <c r="H109" s="7" t="n">
        <v>38.75</v>
      </c>
    </row>
    <row r="110">
      <c r="A110" s="6" t="inlineStr">
        <is>
          <t>L SOMA EOLL</t>
        </is>
      </c>
      <c r="B110" s="6" t="inlineStr">
        <is>
          <t>A-EL CLNR</t>
        </is>
      </c>
      <c r="C110" s="7" t="n">
        <v>0</v>
      </c>
      <c r="D110" s="7" t="n">
        <v>40.25</v>
      </c>
      <c r="E110" s="7" t="n">
        <v>0</v>
      </c>
      <c r="F110" s="7" t="n">
        <v>0</v>
      </c>
      <c r="G110" s="7" t="n">
        <v>0</v>
      </c>
      <c r="H110" s="7" t="n">
        <v>40.25</v>
      </c>
    </row>
    <row r="111">
      <c r="A111" s="6" t="inlineStr">
        <is>
          <t>D VIRA EOLL</t>
        </is>
      </c>
      <c r="B111" s="6" t="inlineStr">
        <is>
          <t>A-EL CLNR</t>
        </is>
      </c>
      <c r="C111" s="7" t="n">
        <v>0</v>
      </c>
      <c r="D111" s="7" t="n">
        <v>40.75</v>
      </c>
      <c r="E111" s="7" t="n">
        <v>0.5</v>
      </c>
      <c r="F111" s="7" t="n">
        <v>0</v>
      </c>
      <c r="G111" s="7" t="n">
        <v>0</v>
      </c>
      <c r="H111" s="7" t="n">
        <v>41.25</v>
      </c>
    </row>
    <row r="112">
      <c r="A112" s="6" t="inlineStr">
        <is>
          <t>A VIRA EOLL</t>
        </is>
      </c>
      <c r="B112" s="6" t="inlineStr">
        <is>
          <t>A-EL DPCH</t>
        </is>
      </c>
      <c r="C112" s="7" t="n">
        <v>0</v>
      </c>
      <c r="D112" s="7" t="n">
        <v>36.25</v>
      </c>
      <c r="E112" s="7" t="n">
        <v>7.75</v>
      </c>
      <c r="F112" s="7" t="n">
        <v>0</v>
      </c>
      <c r="G112" s="7" t="n">
        <v>0</v>
      </c>
      <c r="H112" s="7" t="n">
        <v>44</v>
      </c>
    </row>
    <row r="113">
      <c r="A113" s="6" t="inlineStr">
        <is>
          <t>K BHALALA EOLL</t>
        </is>
      </c>
      <c r="B113" s="6" t="inlineStr">
        <is>
          <t>A-EL PKNG HIGH_RISK</t>
        </is>
      </c>
      <c r="C113" s="7" t="n">
        <v>0</v>
      </c>
      <c r="D113" s="7" t="n">
        <v>0</v>
      </c>
      <c r="E113" s="7" t="n">
        <v>0</v>
      </c>
      <c r="F113" s="7" t="n">
        <v>0</v>
      </c>
      <c r="G113" s="7" t="n">
        <v>0</v>
      </c>
      <c r="H113" s="7" t="n">
        <v>0</v>
      </c>
    </row>
    <row r="114">
      <c r="A114" s="6" t="inlineStr">
        <is>
          <t>S BIPINBHAI DOBARIYA EOLL</t>
        </is>
      </c>
      <c r="B114" s="6" t="inlineStr">
        <is>
          <t>A-EL PKNG HIGH_RISK</t>
        </is>
      </c>
      <c r="C114" s="7" t="n">
        <v>0</v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0</v>
      </c>
    </row>
    <row r="115">
      <c r="A115" s="6" t="inlineStr">
        <is>
          <t>H CHAGAN EOLL</t>
        </is>
      </c>
      <c r="B115" s="6" t="inlineStr">
        <is>
          <t>A-EL PKNG HIGH_RISK</t>
        </is>
      </c>
      <c r="C115" s="7" t="n">
        <v>0</v>
      </c>
      <c r="D115" s="7" t="n">
        <v>0</v>
      </c>
      <c r="E115" s="7" t="n">
        <v>0</v>
      </c>
      <c r="F115" s="7" t="n">
        <v>0</v>
      </c>
      <c r="G115" s="7" t="n">
        <v>0</v>
      </c>
      <c r="H115" s="7" t="n">
        <v>0</v>
      </c>
    </row>
    <row r="116">
      <c r="A116" s="6" t="inlineStr">
        <is>
          <t>A CHOTALA EOLL</t>
        </is>
      </c>
      <c r="B116" s="6" t="inlineStr">
        <is>
          <t>A-EL PKNG HIGH_RISK</t>
        </is>
      </c>
      <c r="C116" s="7" t="n">
        <v>0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</row>
    <row r="117">
      <c r="A117" s="6" t="inlineStr">
        <is>
          <t>M CORREIA EOLL</t>
        </is>
      </c>
      <c r="B117" s="6" t="inlineStr">
        <is>
          <t>A-EL PKNG HIGH_RISK</t>
        </is>
      </c>
      <c r="C117" s="7" t="n">
        <v>0</v>
      </c>
      <c r="D117" s="7" t="n">
        <v>41.25</v>
      </c>
      <c r="E117" s="7" t="n">
        <v>1.5</v>
      </c>
      <c r="F117" s="7" t="n">
        <v>0</v>
      </c>
      <c r="G117" s="7" t="n">
        <v>0</v>
      </c>
      <c r="H117" s="7" t="n">
        <v>42.75</v>
      </c>
    </row>
    <row r="118">
      <c r="A118" s="6" t="inlineStr">
        <is>
          <t>R DEVJI BAMANIA EOLL</t>
        </is>
      </c>
      <c r="B118" s="6" t="inlineStr">
        <is>
          <t>A-EL PKNG HIGH_RISK</t>
        </is>
      </c>
      <c r="C118" s="7" t="n">
        <v>0</v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</row>
    <row r="119">
      <c r="A119" s="6" t="inlineStr">
        <is>
          <t>P DONGA EOLL</t>
        </is>
      </c>
      <c r="B119" s="6" t="inlineStr">
        <is>
          <t>A-EL PKNG HIGH_RISK</t>
        </is>
      </c>
      <c r="C119" s="7" t="n">
        <v>0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</row>
    <row r="120">
      <c r="A120" s="6" t="inlineStr">
        <is>
          <t>M GOVIND EOLL</t>
        </is>
      </c>
      <c r="B120" s="6" t="inlineStr">
        <is>
          <t>A-EL PKNG HIGH_RISK</t>
        </is>
      </c>
      <c r="C120" s="7" t="n">
        <v>0</v>
      </c>
      <c r="D120" s="7" t="n">
        <v>37.5</v>
      </c>
      <c r="E120" s="7" t="n">
        <v>0</v>
      </c>
      <c r="F120" s="7" t="n">
        <v>0</v>
      </c>
      <c r="G120" s="7" t="n">
        <v>0</v>
      </c>
      <c r="H120" s="7" t="n">
        <v>37.5</v>
      </c>
    </row>
    <row r="121">
      <c r="A121" s="6" t="inlineStr">
        <is>
          <t>G GUNABHAI DEVANI EOLL</t>
        </is>
      </c>
      <c r="B121" s="6" t="inlineStr">
        <is>
          <t>A-EL PKNG HIGH_RISK</t>
        </is>
      </c>
      <c r="C121" s="7" t="n">
        <v>0</v>
      </c>
      <c r="D121" s="7" t="n">
        <v>39.75</v>
      </c>
      <c r="E121" s="7" t="n">
        <v>0</v>
      </c>
      <c r="F121" s="7" t="n">
        <v>0</v>
      </c>
      <c r="G121" s="7" t="n">
        <v>0</v>
      </c>
      <c r="H121" s="7" t="n">
        <v>39.75</v>
      </c>
    </row>
    <row r="122">
      <c r="A122" s="6" t="inlineStr">
        <is>
          <t>K HASMUKHBHAI CHATALIYA EOLL</t>
        </is>
      </c>
      <c r="B122" s="6" t="inlineStr">
        <is>
          <t>A-EL PKNG HIGH_RISK</t>
        </is>
      </c>
      <c r="C122" s="7" t="n">
        <v>0</v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</row>
    <row r="123">
      <c r="A123" s="6" t="inlineStr">
        <is>
          <t>S JASOHIYA EOLL</t>
        </is>
      </c>
      <c r="B123" s="6" t="inlineStr">
        <is>
          <t>A-EL PKNG HIGH_RISK</t>
        </is>
      </c>
      <c r="C123" s="7" t="n">
        <v>0</v>
      </c>
      <c r="D123" s="7" t="n">
        <v>0</v>
      </c>
      <c r="E123" s="7" t="n">
        <v>0</v>
      </c>
      <c r="F123" s="7" t="n">
        <v>0</v>
      </c>
      <c r="G123" s="7" t="n">
        <v>0</v>
      </c>
      <c r="H123" s="7" t="n">
        <v>0</v>
      </c>
    </row>
    <row r="124">
      <c r="A124" s="6" t="inlineStr">
        <is>
          <t>H KHUNT EOLL</t>
        </is>
      </c>
      <c r="B124" s="6" t="inlineStr">
        <is>
          <t>A-EL PKNG HIGH_RISK</t>
        </is>
      </c>
      <c r="C124" s="7" t="n">
        <v>0</v>
      </c>
      <c r="D124" s="7" t="n">
        <v>41.25</v>
      </c>
      <c r="E124" s="7" t="n">
        <v>3</v>
      </c>
      <c r="F124" s="7" t="n">
        <v>0</v>
      </c>
      <c r="G124" s="7" t="n">
        <v>0</v>
      </c>
      <c r="H124" s="7" t="n">
        <v>44.25</v>
      </c>
    </row>
    <row r="125">
      <c r="A125" s="6" t="inlineStr">
        <is>
          <t>K KIRAN PATEL EOLL</t>
        </is>
      </c>
      <c r="B125" s="6" t="inlineStr">
        <is>
          <t>A-EL PKNG HIGH_RISK</t>
        </is>
      </c>
      <c r="C125" s="7" t="n">
        <v>0</v>
      </c>
      <c r="D125" s="7" t="n">
        <v>18</v>
      </c>
      <c r="E125" s="7" t="n">
        <v>0</v>
      </c>
      <c r="F125" s="7" t="n">
        <v>0</v>
      </c>
      <c r="G125" s="7" t="n">
        <v>0</v>
      </c>
      <c r="H125" s="7" t="n">
        <v>18</v>
      </c>
    </row>
    <row r="126">
      <c r="A126" s="6" t="inlineStr">
        <is>
          <t>A KUMARI YADAV EOLL</t>
        </is>
      </c>
      <c r="B126" s="6" t="inlineStr">
        <is>
          <t>A-EL PKNG HIGH_RISK</t>
        </is>
      </c>
      <c r="C126" s="7" t="n">
        <v>0</v>
      </c>
      <c r="D126" s="7" t="n">
        <v>41.25</v>
      </c>
      <c r="E126" s="7" t="n">
        <v>2.25</v>
      </c>
      <c r="F126" s="7" t="n">
        <v>0</v>
      </c>
      <c r="G126" s="7" t="n">
        <v>0</v>
      </c>
      <c r="H126" s="7" t="n">
        <v>43.5</v>
      </c>
    </row>
    <row r="127">
      <c r="A127" s="6" t="inlineStr">
        <is>
          <t>A KUNJADIYA EOLL</t>
        </is>
      </c>
      <c r="B127" s="6" t="inlineStr">
        <is>
          <t>A-EL PKNG HIGH_RISK</t>
        </is>
      </c>
      <c r="C127" s="7" t="n">
        <v>0</v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</row>
    <row r="128">
      <c r="A128" s="6" t="inlineStr">
        <is>
          <t>J MAYENKAR EOLL</t>
        </is>
      </c>
      <c r="B128" s="6" t="inlineStr">
        <is>
          <t>A-EL PKNG HIGH_RISK</t>
        </is>
      </c>
      <c r="C128" s="7" t="n">
        <v>0</v>
      </c>
      <c r="D128" s="7" t="n">
        <v>0</v>
      </c>
      <c r="E128" s="7" t="n">
        <v>0</v>
      </c>
      <c r="F128" s="7" t="n">
        <v>0</v>
      </c>
      <c r="G128" s="7" t="n">
        <v>0</v>
      </c>
      <c r="H128" s="7" t="n">
        <v>0</v>
      </c>
    </row>
    <row r="129">
      <c r="A129" s="6" t="inlineStr">
        <is>
          <t>J MENDAPARA EOLL</t>
        </is>
      </c>
      <c r="B129" s="6" t="inlineStr">
        <is>
          <t>A-EL PKNG HIGH_RISK</t>
        </is>
      </c>
      <c r="C129" s="7" t="n">
        <v>0</v>
      </c>
      <c r="D129" s="7" t="n">
        <v>40</v>
      </c>
      <c r="E129" s="7" t="n">
        <v>0</v>
      </c>
      <c r="F129" s="7" t="n">
        <v>0</v>
      </c>
      <c r="G129" s="7" t="n">
        <v>0</v>
      </c>
      <c r="H129" s="7" t="n">
        <v>40</v>
      </c>
    </row>
    <row r="130">
      <c r="A130" s="6" t="inlineStr">
        <is>
          <t>S MOTISARIYA EOLL</t>
        </is>
      </c>
      <c r="B130" s="6" t="inlineStr">
        <is>
          <t>A-EL PKNG HIGH_RISK</t>
        </is>
      </c>
      <c r="C130" s="7" t="n">
        <v>0</v>
      </c>
      <c r="D130" s="7" t="n">
        <v>7.5</v>
      </c>
      <c r="E130" s="7" t="n">
        <v>0</v>
      </c>
      <c r="F130" s="7" t="n">
        <v>0</v>
      </c>
      <c r="G130" s="7" t="n">
        <v>0</v>
      </c>
      <c r="H130" s="7" t="n">
        <v>7.5</v>
      </c>
    </row>
    <row r="131">
      <c r="A131" s="6" t="inlineStr">
        <is>
          <t>R NANJI EOLL</t>
        </is>
      </c>
      <c r="B131" s="6" t="inlineStr">
        <is>
          <t>A-EL PKNG HIGH_RISK</t>
        </is>
      </c>
      <c r="C131" s="7" t="n">
        <v>0</v>
      </c>
      <c r="D131" s="7" t="n">
        <v>38.5</v>
      </c>
      <c r="E131" s="7" t="n">
        <v>0</v>
      </c>
      <c r="F131" s="7" t="n">
        <v>0</v>
      </c>
      <c r="G131" s="7" t="n">
        <v>0</v>
      </c>
      <c r="H131" s="7" t="n">
        <v>38.5</v>
      </c>
    </row>
    <row r="132">
      <c r="A132" s="6" t="inlineStr">
        <is>
          <t>M PARTH MESHIYA EOLL</t>
        </is>
      </c>
      <c r="B132" s="6" t="inlineStr">
        <is>
          <t>A-EL PKNG HIGH_RISK</t>
        </is>
      </c>
      <c r="C132" s="7" t="n">
        <v>0</v>
      </c>
      <c r="D132" s="7" t="n">
        <v>7.5</v>
      </c>
      <c r="E132" s="7" t="n">
        <v>0</v>
      </c>
      <c r="F132" s="7" t="n">
        <v>0</v>
      </c>
      <c r="G132" s="7" t="n">
        <v>0</v>
      </c>
      <c r="H132" s="7" t="n">
        <v>7.5</v>
      </c>
    </row>
    <row r="133">
      <c r="A133" s="6" t="inlineStr">
        <is>
          <t>A PATEL EOLL</t>
        </is>
      </c>
      <c r="B133" s="6" t="inlineStr">
        <is>
          <t>A-EL PKNG HIGH_RISK</t>
        </is>
      </c>
      <c r="C133" s="7" t="n">
        <v>0</v>
      </c>
      <c r="D133" s="7" t="n">
        <v>0</v>
      </c>
      <c r="E133" s="7" t="n">
        <v>0</v>
      </c>
      <c r="F133" s="7" t="n">
        <v>0</v>
      </c>
      <c r="G133" s="7" t="n">
        <v>0</v>
      </c>
      <c r="H133" s="7" t="n">
        <v>0</v>
      </c>
    </row>
    <row r="134">
      <c r="A134" s="6" t="inlineStr">
        <is>
          <t>N PATEL EOLL</t>
        </is>
      </c>
      <c r="B134" s="6" t="inlineStr">
        <is>
          <t>A-EL PKNG HIGH_RISK</t>
        </is>
      </c>
      <c r="C134" s="7" t="n">
        <v>0</v>
      </c>
      <c r="D134" s="7" t="n">
        <v>0</v>
      </c>
      <c r="E134" s="7" t="n">
        <v>0</v>
      </c>
      <c r="F134" s="7" t="n">
        <v>0</v>
      </c>
      <c r="G134" s="7" t="n">
        <v>0</v>
      </c>
      <c r="H134" s="7" t="n">
        <v>0</v>
      </c>
    </row>
    <row r="135">
      <c r="A135" s="6" t="inlineStr">
        <is>
          <t>P PATEL EOLL</t>
        </is>
      </c>
      <c r="B135" s="6" t="inlineStr">
        <is>
          <t>A-EL PKNG HIGH_RISK</t>
        </is>
      </c>
      <c r="C135" s="7" t="n">
        <v>0</v>
      </c>
      <c r="D135" s="7" t="n">
        <v>7.75</v>
      </c>
      <c r="E135" s="7" t="n">
        <v>0</v>
      </c>
      <c r="F135" s="7" t="n">
        <v>0</v>
      </c>
      <c r="G135" s="7" t="n">
        <v>0</v>
      </c>
      <c r="H135" s="7" t="n">
        <v>7.75</v>
      </c>
    </row>
    <row r="136">
      <c r="A136" s="6" t="inlineStr">
        <is>
          <t>S PATEL EOLL</t>
        </is>
      </c>
      <c r="B136" s="6" t="inlineStr">
        <is>
          <t>A-EL PKNG HIGH_RISK</t>
        </is>
      </c>
      <c r="C136" s="7" t="n">
        <v>0</v>
      </c>
      <c r="D136" s="7" t="n">
        <v>24.5</v>
      </c>
      <c r="E136" s="7" t="n">
        <v>0</v>
      </c>
      <c r="F136" s="7" t="n">
        <v>0</v>
      </c>
      <c r="G136" s="7" t="n">
        <v>0</v>
      </c>
      <c r="H136" s="7" t="n">
        <v>24.5</v>
      </c>
    </row>
    <row r="137">
      <c r="A137" s="6" t="inlineStr">
        <is>
          <t>V PATEL EOLL</t>
        </is>
      </c>
      <c r="B137" s="6" t="inlineStr">
        <is>
          <t>A-EL PKNG HIGH_RISK</t>
        </is>
      </c>
      <c r="C137" s="7" t="n">
        <v>0</v>
      </c>
      <c r="D137" s="7" t="n">
        <v>23.5</v>
      </c>
      <c r="E137" s="7" t="n">
        <v>0</v>
      </c>
      <c r="F137" s="7" t="n">
        <v>0</v>
      </c>
      <c r="G137" s="7" t="n">
        <v>0</v>
      </c>
      <c r="H137" s="7" t="n">
        <v>23.5</v>
      </c>
    </row>
    <row r="138">
      <c r="A138" s="6" t="inlineStr">
        <is>
          <t>J RAMESH EOLL</t>
        </is>
      </c>
      <c r="B138" s="6" t="inlineStr">
        <is>
          <t>A-EL PKNG HIGH_RISK</t>
        </is>
      </c>
      <c r="C138" s="7" t="n">
        <v>0</v>
      </c>
      <c r="D138" s="7" t="n">
        <v>41.25</v>
      </c>
      <c r="E138" s="7" t="n">
        <v>11</v>
      </c>
      <c r="F138" s="7" t="n">
        <v>0</v>
      </c>
      <c r="G138" s="7" t="n">
        <v>0</v>
      </c>
      <c r="H138" s="7" t="n">
        <v>52.25</v>
      </c>
    </row>
    <row r="139">
      <c r="A139" s="6" t="inlineStr">
        <is>
          <t>P RAMJI EOLL</t>
        </is>
      </c>
      <c r="B139" s="6" t="inlineStr">
        <is>
          <t>A-EL PKNG HIGH_RISK</t>
        </is>
      </c>
      <c r="C139" s="7" t="n">
        <v>0</v>
      </c>
      <c r="D139" s="7" t="n">
        <v>27.75</v>
      </c>
      <c r="E139" s="7" t="n">
        <v>0</v>
      </c>
      <c r="F139" s="7" t="n">
        <v>0</v>
      </c>
      <c r="G139" s="7" t="n">
        <v>0</v>
      </c>
      <c r="H139" s="7" t="n">
        <v>27.75</v>
      </c>
    </row>
    <row r="140">
      <c r="A140" s="6" t="inlineStr">
        <is>
          <t>P SATISH EOLL</t>
        </is>
      </c>
      <c r="B140" s="6" t="inlineStr">
        <is>
          <t>A-EL PKNG HIGH_RISK</t>
        </is>
      </c>
      <c r="C140" s="7" t="n">
        <v>0</v>
      </c>
      <c r="D140" s="7" t="n">
        <v>23.5</v>
      </c>
      <c r="E140" s="7" t="n">
        <v>0</v>
      </c>
      <c r="F140" s="7" t="n">
        <v>0</v>
      </c>
      <c r="G140" s="7" t="n">
        <v>0</v>
      </c>
      <c r="H140" s="7" t="n">
        <v>23.5</v>
      </c>
    </row>
    <row r="141">
      <c r="A141" s="6" t="inlineStr">
        <is>
          <t>J SAVSARIYA EOLL</t>
        </is>
      </c>
      <c r="B141" s="6" t="inlineStr">
        <is>
          <t>A-EL PKNG HIGH_RISK</t>
        </is>
      </c>
      <c r="C141" s="7" t="n">
        <v>0</v>
      </c>
      <c r="D141" s="7" t="n">
        <v>0</v>
      </c>
      <c r="E141" s="7" t="n">
        <v>0</v>
      </c>
      <c r="F141" s="7" t="n">
        <v>0</v>
      </c>
      <c r="G141" s="7" t="n">
        <v>0</v>
      </c>
      <c r="H141" s="7" t="n">
        <v>0</v>
      </c>
    </row>
    <row r="142">
      <c r="A142" s="6" t="inlineStr">
        <is>
          <t>R VAGHANI EOLL</t>
        </is>
      </c>
      <c r="B142" s="6" t="inlineStr">
        <is>
          <t>A-EL PKNG HIGH_RISK</t>
        </is>
      </c>
      <c r="C142" s="7" t="n">
        <v>0</v>
      </c>
      <c r="D142" s="7" t="n">
        <v>31.75</v>
      </c>
      <c r="E142" s="7" t="n">
        <v>0</v>
      </c>
      <c r="F142" s="7" t="n">
        <v>0</v>
      </c>
      <c r="G142" s="7" t="n">
        <v>0</v>
      </c>
      <c r="H142" s="7" t="n">
        <v>31.75</v>
      </c>
    </row>
    <row r="143">
      <c r="A143" s="6" t="inlineStr">
        <is>
          <t>A VAGHASIYA EOLL</t>
        </is>
      </c>
      <c r="B143" s="6" t="inlineStr">
        <is>
          <t>A-EL PKNG HIGH_RISK</t>
        </is>
      </c>
      <c r="C143" s="7" t="n">
        <v>0</v>
      </c>
      <c r="D143" s="7" t="n">
        <v>39</v>
      </c>
      <c r="E143" s="7" t="n">
        <v>0</v>
      </c>
      <c r="F143" s="7" t="n">
        <v>0</v>
      </c>
      <c r="G143" s="7" t="n">
        <v>0</v>
      </c>
      <c r="H143" s="7" t="n">
        <v>39</v>
      </c>
    </row>
    <row r="144">
      <c r="A144" s="6" t="inlineStr">
        <is>
          <t>J VAGHASIYA EOLL</t>
        </is>
      </c>
      <c r="B144" s="6" t="inlineStr">
        <is>
          <t>A-EL PKNG HIGH_RISK</t>
        </is>
      </c>
      <c r="C144" s="7" t="n">
        <v>0</v>
      </c>
      <c r="D144" s="7" t="n">
        <v>22.5</v>
      </c>
      <c r="E144" s="7" t="n">
        <v>0</v>
      </c>
      <c r="F144" s="7" t="n">
        <v>0</v>
      </c>
      <c r="G144" s="7" t="n">
        <v>0</v>
      </c>
      <c r="H144" s="7" t="n">
        <v>22.5</v>
      </c>
    </row>
    <row r="145">
      <c r="A145" s="6" t="inlineStr">
        <is>
          <t>A AGARWAL EOLL</t>
        </is>
      </c>
      <c r="B145" s="6" t="inlineStr">
        <is>
          <t>A-EL PKNG SLEEVING</t>
        </is>
      </c>
      <c r="C145" s="7" t="n">
        <v>0</v>
      </c>
      <c r="D145" s="7" t="n">
        <v>17</v>
      </c>
      <c r="E145" s="7" t="n">
        <v>0</v>
      </c>
      <c r="F145" s="7" t="n">
        <v>0</v>
      </c>
      <c r="G145" s="7" t="n">
        <v>0</v>
      </c>
      <c r="H145" s="7" t="n">
        <v>17</v>
      </c>
    </row>
    <row r="146">
      <c r="A146" s="6" t="inlineStr">
        <is>
          <t>J BELADIYA EOLL</t>
        </is>
      </c>
      <c r="B146" s="6" t="inlineStr">
        <is>
          <t>A-EL PKNG SLEEVING</t>
        </is>
      </c>
      <c r="C146" s="7" t="n">
        <v>0</v>
      </c>
      <c r="D146" s="7" t="n">
        <v>16</v>
      </c>
      <c r="E146" s="7" t="n">
        <v>0</v>
      </c>
      <c r="F146" s="7" t="n">
        <v>0</v>
      </c>
      <c r="G146" s="7" t="n">
        <v>0</v>
      </c>
      <c r="H146" s="7" t="n">
        <v>16</v>
      </c>
    </row>
    <row r="147">
      <c r="A147" s="6" t="inlineStr">
        <is>
          <t>B CHAVDA EOLL</t>
        </is>
      </c>
      <c r="B147" s="6" t="inlineStr">
        <is>
          <t>A-EL PKNG SLEEVING</t>
        </is>
      </c>
      <c r="C147" s="7" t="n">
        <v>0</v>
      </c>
      <c r="D147" s="7" t="n">
        <v>15</v>
      </c>
      <c r="E147" s="7" t="n">
        <v>0</v>
      </c>
      <c r="F147" s="7" t="n">
        <v>0</v>
      </c>
      <c r="G147" s="7" t="n">
        <v>0</v>
      </c>
      <c r="H147" s="7" t="n">
        <v>15</v>
      </c>
    </row>
    <row r="148">
      <c r="A148" s="6" t="inlineStr">
        <is>
          <t>N JAMNADAS EOLL</t>
        </is>
      </c>
      <c r="B148" s="6" t="inlineStr">
        <is>
          <t>A-EL PKNG SLEEVING</t>
        </is>
      </c>
      <c r="C148" s="7" t="n">
        <v>0</v>
      </c>
      <c r="D148" s="7" t="n">
        <v>0</v>
      </c>
      <c r="E148" s="7" t="n">
        <v>0</v>
      </c>
      <c r="F148" s="7" t="n">
        <v>0</v>
      </c>
      <c r="G148" s="7" t="n">
        <v>0</v>
      </c>
      <c r="H148" s="7" t="n">
        <v>0</v>
      </c>
    </row>
    <row r="149">
      <c r="A149" s="6" t="inlineStr">
        <is>
          <t>H KANANI EOLL</t>
        </is>
      </c>
      <c r="B149" s="6" t="inlineStr">
        <is>
          <t>A-EL PKNG SLEEVING</t>
        </is>
      </c>
      <c r="C149" s="7" t="n">
        <v>0</v>
      </c>
      <c r="D149" s="7" t="n">
        <v>8</v>
      </c>
      <c r="E149" s="7" t="n">
        <v>0</v>
      </c>
      <c r="F149" s="7" t="n">
        <v>0</v>
      </c>
      <c r="G149" s="7" t="n">
        <v>0</v>
      </c>
      <c r="H149" s="7" t="n">
        <v>8</v>
      </c>
    </row>
    <row r="150">
      <c r="A150" s="6" t="inlineStr">
        <is>
          <t>J KOSHTI EOLL</t>
        </is>
      </c>
      <c r="B150" s="6" t="inlineStr">
        <is>
          <t>A-EL PKNG SLEEVING</t>
        </is>
      </c>
      <c r="C150" s="7" t="n">
        <v>0</v>
      </c>
      <c r="D150" s="7" t="n">
        <v>41.25</v>
      </c>
      <c r="E150" s="7" t="n">
        <v>0.75</v>
      </c>
      <c r="F150" s="7" t="n">
        <v>0</v>
      </c>
      <c r="G150" s="7" t="n">
        <v>0</v>
      </c>
      <c r="H150" s="7" t="n">
        <v>42</v>
      </c>
    </row>
    <row r="151">
      <c r="A151" s="6" t="inlineStr">
        <is>
          <t>N MAKVANA EOLL</t>
        </is>
      </c>
      <c r="B151" s="6" t="inlineStr">
        <is>
          <t>A-EL PKNG SLEEVING</t>
        </is>
      </c>
      <c r="C151" s="7" t="n">
        <v>0</v>
      </c>
      <c r="D151" s="7" t="n">
        <v>30.25</v>
      </c>
      <c r="E151" s="7" t="n">
        <v>0</v>
      </c>
      <c r="F151" s="7" t="n">
        <v>0</v>
      </c>
      <c r="G151" s="7" t="n">
        <v>0</v>
      </c>
      <c r="H151" s="7" t="n">
        <v>30.25</v>
      </c>
    </row>
    <row r="152">
      <c r="A152" s="6" t="inlineStr">
        <is>
          <t>D MUKESHKUMAR EOLL</t>
        </is>
      </c>
      <c r="B152" s="6" t="inlineStr">
        <is>
          <t>A-EL PKNG SLEEVING</t>
        </is>
      </c>
      <c r="C152" s="7" t="n">
        <v>0</v>
      </c>
      <c r="D152" s="7" t="n">
        <v>22.5</v>
      </c>
      <c r="E152" s="7" t="n">
        <v>0</v>
      </c>
      <c r="F152" s="7" t="n">
        <v>0</v>
      </c>
      <c r="G152" s="7" t="n">
        <v>0</v>
      </c>
      <c r="H152" s="7" t="n">
        <v>22.5</v>
      </c>
    </row>
    <row r="153">
      <c r="A153" s="6" t="inlineStr">
        <is>
          <t>L PATEL EOLL</t>
        </is>
      </c>
      <c r="B153" s="6" t="inlineStr">
        <is>
          <t>A-EL PKNG SLEEVING</t>
        </is>
      </c>
      <c r="C153" s="7" t="n">
        <v>0</v>
      </c>
      <c r="D153" s="7" t="n">
        <v>0</v>
      </c>
      <c r="E153" s="7" t="n">
        <v>0</v>
      </c>
      <c r="F153" s="7" t="n">
        <v>0</v>
      </c>
      <c r="G153" s="7" t="n">
        <v>0</v>
      </c>
      <c r="H153" s="7" t="n">
        <v>0</v>
      </c>
    </row>
    <row r="154">
      <c r="A154" s="6" t="inlineStr">
        <is>
          <t>N PETHANI EOLL</t>
        </is>
      </c>
      <c r="B154" s="6" t="inlineStr">
        <is>
          <t>A-EL PKNG SLEEVING</t>
        </is>
      </c>
      <c r="C154" s="7" t="n">
        <v>0</v>
      </c>
      <c r="D154" s="7" t="n">
        <v>8.5</v>
      </c>
      <c r="E154" s="7" t="n">
        <v>0</v>
      </c>
      <c r="F154" s="7" t="n">
        <v>0</v>
      </c>
      <c r="G154" s="7" t="n">
        <v>0</v>
      </c>
      <c r="H154" s="7" t="n">
        <v>8.5</v>
      </c>
    </row>
    <row r="155">
      <c r="A155" s="6" t="inlineStr">
        <is>
          <t>N RAMESH EOLL</t>
        </is>
      </c>
      <c r="B155" s="6" t="inlineStr">
        <is>
          <t>A-EL PKNG SLEEVING</t>
        </is>
      </c>
      <c r="C155" s="7" t="n">
        <v>0</v>
      </c>
      <c r="D155" s="7" t="n">
        <v>0</v>
      </c>
      <c r="E155" s="7" t="n">
        <v>0</v>
      </c>
      <c r="F155" s="7" t="n">
        <v>0</v>
      </c>
      <c r="G155" s="7" t="n">
        <v>0</v>
      </c>
      <c r="H155" s="7" t="n">
        <v>0</v>
      </c>
    </row>
    <row r="156">
      <c r="A156" s="6" t="inlineStr">
        <is>
          <t>N RATHOD EOLL</t>
        </is>
      </c>
      <c r="B156" s="6" t="inlineStr">
        <is>
          <t>A-EL PKNG SLEEVING</t>
        </is>
      </c>
      <c r="C156" s="7" t="n">
        <v>0</v>
      </c>
      <c r="D156" s="7" t="n">
        <v>13</v>
      </c>
      <c r="E156" s="7" t="n">
        <v>0</v>
      </c>
      <c r="F156" s="7" t="n">
        <v>0</v>
      </c>
      <c r="G156" s="7" t="n">
        <v>0</v>
      </c>
      <c r="H156" s="7" t="n">
        <v>13</v>
      </c>
    </row>
    <row r="157">
      <c r="A157" s="6" t="inlineStr">
        <is>
          <t>G ROHITBHAI PATEL EOLL</t>
        </is>
      </c>
      <c r="B157" s="6" t="inlineStr">
        <is>
          <t>A-EL PKNG SLEEVING</t>
        </is>
      </c>
      <c r="C157" s="7" t="n">
        <v>0</v>
      </c>
      <c r="D157" s="7" t="n">
        <v>0</v>
      </c>
      <c r="E157" s="7" t="n">
        <v>0</v>
      </c>
      <c r="F157" s="7" t="n">
        <v>0</v>
      </c>
      <c r="G157" s="7" t="n">
        <v>0</v>
      </c>
      <c r="H157" s="7" t="n">
        <v>0</v>
      </c>
    </row>
    <row r="158">
      <c r="A158" s="6" t="inlineStr">
        <is>
          <t>D SIKOTARA EOLL</t>
        </is>
      </c>
      <c r="B158" s="6" t="inlineStr">
        <is>
          <t>A-EL PKNG SLEEVING</t>
        </is>
      </c>
      <c r="C158" s="7" t="n">
        <v>0</v>
      </c>
      <c r="D158" s="7" t="n">
        <v>15.25</v>
      </c>
      <c r="E158" s="7" t="n">
        <v>0</v>
      </c>
      <c r="F158" s="7" t="n">
        <v>0</v>
      </c>
      <c r="G158" s="7" t="n">
        <v>0</v>
      </c>
      <c r="H158" s="7" t="n">
        <v>15.25</v>
      </c>
    </row>
    <row r="159">
      <c r="A159" s="6" t="inlineStr">
        <is>
          <t>P THAKOR EOLL</t>
        </is>
      </c>
      <c r="B159" s="6" t="inlineStr">
        <is>
          <t>A-EL PKNG SLEEVING</t>
        </is>
      </c>
      <c r="C159" s="7" t="n">
        <v>0</v>
      </c>
      <c r="D159" s="7" t="n">
        <v>7.5</v>
      </c>
      <c r="E159" s="7" t="n">
        <v>0</v>
      </c>
      <c r="F159" s="7" t="n">
        <v>0</v>
      </c>
      <c r="G159" s="7" t="n">
        <v>0</v>
      </c>
      <c r="H159" s="7" t="n">
        <v>7.5</v>
      </c>
    </row>
    <row r="160">
      <c r="A160" s="6" t="inlineStr">
        <is>
          <t>B ARGI EOLL</t>
        </is>
      </c>
      <c r="B160" s="6" t="inlineStr">
        <is>
          <t>A-EL PROD BELT</t>
        </is>
      </c>
      <c r="C160" s="7" t="n">
        <v>0</v>
      </c>
      <c r="D160" s="7" t="n">
        <v>27.75</v>
      </c>
      <c r="E160" s="7" t="n">
        <v>0</v>
      </c>
      <c r="F160" s="7" t="n">
        <v>0</v>
      </c>
      <c r="G160" s="7" t="n">
        <v>0</v>
      </c>
      <c r="H160" s="7" t="n">
        <v>27.75</v>
      </c>
    </row>
    <row r="161">
      <c r="A161" s="6" t="inlineStr">
        <is>
          <t>K BABU EOLL</t>
        </is>
      </c>
      <c r="B161" s="6" t="inlineStr">
        <is>
          <t>A-EL PROD BELT</t>
        </is>
      </c>
      <c r="C161" s="7" t="n">
        <v>0</v>
      </c>
      <c r="D161" s="7" t="n">
        <v>25.25</v>
      </c>
      <c r="E161" s="7" t="n">
        <v>0</v>
      </c>
      <c r="F161" s="7" t="n">
        <v>0</v>
      </c>
      <c r="G161" s="7" t="n">
        <v>0</v>
      </c>
      <c r="H161" s="7" t="n">
        <v>25.25</v>
      </c>
    </row>
    <row r="162">
      <c r="A162" s="6" t="inlineStr">
        <is>
          <t>H BHIKHA EOLL</t>
        </is>
      </c>
      <c r="B162" s="6" t="inlineStr">
        <is>
          <t>A-EL PROD BELT</t>
        </is>
      </c>
      <c r="C162" s="7" t="n">
        <v>0</v>
      </c>
      <c r="D162" s="7" t="n">
        <v>26</v>
      </c>
      <c r="E162" s="7" t="n">
        <v>0</v>
      </c>
      <c r="F162" s="7" t="n">
        <v>0</v>
      </c>
      <c r="G162" s="7" t="n">
        <v>0</v>
      </c>
      <c r="H162" s="7" t="n">
        <v>26</v>
      </c>
    </row>
    <row r="163">
      <c r="A163" s="6" t="inlineStr">
        <is>
          <t>A CANGI EOLL</t>
        </is>
      </c>
      <c r="B163" s="6" t="inlineStr">
        <is>
          <t>A-EL PROD BELT</t>
        </is>
      </c>
      <c r="C163" s="7" t="n">
        <v>0</v>
      </c>
      <c r="D163" s="7" t="n">
        <v>0</v>
      </c>
      <c r="E163" s="7" t="n">
        <v>0</v>
      </c>
      <c r="F163" s="7" t="n">
        <v>0</v>
      </c>
      <c r="G163" s="7" t="n">
        <v>0</v>
      </c>
      <c r="H163" s="7" t="n">
        <v>0</v>
      </c>
    </row>
    <row r="164">
      <c r="A164" s="6" t="inlineStr">
        <is>
          <t>H CHANDRAKANT EOLL</t>
        </is>
      </c>
      <c r="B164" s="6" t="inlineStr">
        <is>
          <t>A-EL PROD BELT</t>
        </is>
      </c>
      <c r="C164" s="7" t="n">
        <v>0</v>
      </c>
      <c r="D164" s="7" t="n">
        <v>6.25</v>
      </c>
      <c r="E164" s="7" t="n">
        <v>0</v>
      </c>
      <c r="F164" s="7" t="n">
        <v>0</v>
      </c>
      <c r="G164" s="7" t="n">
        <v>0</v>
      </c>
      <c r="H164" s="7" t="n">
        <v>6.25</v>
      </c>
    </row>
    <row r="165">
      <c r="A165" s="6" t="inlineStr">
        <is>
          <t>H CHUNILAL EOLL</t>
        </is>
      </c>
      <c r="B165" s="6" t="inlineStr">
        <is>
          <t>A-EL PROD BELT</t>
        </is>
      </c>
      <c r="C165" s="7" t="n">
        <v>0</v>
      </c>
      <c r="D165" s="7" t="n">
        <v>27.75</v>
      </c>
      <c r="E165" s="7" t="n">
        <v>0</v>
      </c>
      <c r="F165" s="7" t="n">
        <v>0</v>
      </c>
      <c r="G165" s="7" t="n">
        <v>0</v>
      </c>
      <c r="H165" s="7" t="n">
        <v>27.75</v>
      </c>
    </row>
    <row r="166">
      <c r="A166" s="6" t="inlineStr">
        <is>
          <t>A DHIRU NAYEE EOLL</t>
        </is>
      </c>
      <c r="B166" s="6" t="inlineStr">
        <is>
          <t>A-EL PROD BELT</t>
        </is>
      </c>
      <c r="C166" s="7" t="n">
        <v>0</v>
      </c>
      <c r="D166" s="7" t="n">
        <v>27.75</v>
      </c>
      <c r="E166" s="7" t="n">
        <v>0</v>
      </c>
      <c r="F166" s="7" t="n">
        <v>0</v>
      </c>
      <c r="G166" s="7" t="n">
        <v>0</v>
      </c>
      <c r="H166" s="7" t="n">
        <v>27.75</v>
      </c>
    </row>
    <row r="167">
      <c r="A167" s="6" t="inlineStr">
        <is>
          <t>A DINESH EOLL</t>
        </is>
      </c>
      <c r="B167" s="6" t="inlineStr">
        <is>
          <t>A-EL PROD BELT</t>
        </is>
      </c>
      <c r="C167" s="7" t="n">
        <v>0</v>
      </c>
      <c r="D167" s="7" t="n">
        <v>29.5</v>
      </c>
      <c r="E167" s="7" t="n">
        <v>0</v>
      </c>
      <c r="F167" s="7" t="n">
        <v>0</v>
      </c>
      <c r="G167" s="7" t="n">
        <v>0</v>
      </c>
      <c r="H167" s="7" t="n">
        <v>29.5</v>
      </c>
    </row>
    <row r="168">
      <c r="A168" s="6" t="inlineStr">
        <is>
          <t>J JIVA EOLL</t>
        </is>
      </c>
      <c r="B168" s="6" t="inlineStr">
        <is>
          <t>A-EL PROD BELT</t>
        </is>
      </c>
      <c r="C168" s="7" t="n">
        <v>0</v>
      </c>
      <c r="D168" s="7" t="n">
        <v>34.25</v>
      </c>
      <c r="E168" s="7" t="n">
        <v>0</v>
      </c>
      <c r="F168" s="7" t="n">
        <v>0</v>
      </c>
      <c r="G168" s="7" t="n">
        <v>0</v>
      </c>
      <c r="H168" s="7" t="n">
        <v>34.25</v>
      </c>
    </row>
    <row r="169">
      <c r="A169" s="6" t="inlineStr">
        <is>
          <t>J KANJI EOLL</t>
        </is>
      </c>
      <c r="B169" s="6" t="inlineStr">
        <is>
          <t>A-EL PROD BELT</t>
        </is>
      </c>
      <c r="C169" s="7" t="n">
        <v>0</v>
      </c>
      <c r="D169" s="7" t="n">
        <v>27</v>
      </c>
      <c r="E169" s="7" t="n">
        <v>0</v>
      </c>
      <c r="F169" s="7" t="n">
        <v>0</v>
      </c>
      <c r="G169" s="7" t="n">
        <v>0</v>
      </c>
      <c r="H169" s="7" t="n">
        <v>27</v>
      </c>
    </row>
    <row r="170">
      <c r="A170" s="6" t="inlineStr">
        <is>
          <t>P KHUNT EOLL</t>
        </is>
      </c>
      <c r="B170" s="6" t="inlineStr">
        <is>
          <t>A-EL PROD BELT</t>
        </is>
      </c>
      <c r="C170" s="7" t="n">
        <v>0</v>
      </c>
      <c r="D170" s="7" t="n">
        <v>0</v>
      </c>
      <c r="E170" s="7" t="n">
        <v>0</v>
      </c>
      <c r="F170" s="7" t="n">
        <v>0</v>
      </c>
      <c r="G170" s="7" t="n">
        <v>0</v>
      </c>
      <c r="H170" s="7" t="n">
        <v>0</v>
      </c>
    </row>
    <row r="171">
      <c r="A171" s="6" t="inlineStr">
        <is>
          <t>T LALJI EOLL</t>
        </is>
      </c>
      <c r="B171" s="6" t="inlineStr">
        <is>
          <t>A-EL PROD BELT</t>
        </is>
      </c>
      <c r="C171" s="7" t="n">
        <v>0</v>
      </c>
      <c r="D171" s="7" t="n">
        <v>26</v>
      </c>
      <c r="E171" s="7" t="n">
        <v>0</v>
      </c>
      <c r="F171" s="7" t="n">
        <v>0</v>
      </c>
      <c r="G171" s="7" t="n">
        <v>0</v>
      </c>
      <c r="H171" s="7" t="n">
        <v>26</v>
      </c>
    </row>
    <row r="172">
      <c r="A172" s="6" t="inlineStr">
        <is>
          <t>C MONIZ EOLL</t>
        </is>
      </c>
      <c r="B172" s="6" t="inlineStr">
        <is>
          <t>A-EL PROD BELT</t>
        </is>
      </c>
      <c r="C172" s="7" t="n">
        <v>0</v>
      </c>
      <c r="D172" s="7" t="n">
        <v>17.25</v>
      </c>
      <c r="E172" s="7" t="n">
        <v>0</v>
      </c>
      <c r="F172" s="7" t="n">
        <v>0</v>
      </c>
      <c r="G172" s="7" t="n">
        <v>0</v>
      </c>
      <c r="H172" s="7" t="n">
        <v>17.25</v>
      </c>
    </row>
    <row r="173">
      <c r="A173" s="6" t="inlineStr">
        <is>
          <t>B NANJI BAMANIYA EOLL</t>
        </is>
      </c>
      <c r="B173" s="6" t="inlineStr">
        <is>
          <t>A-EL PROD BELT</t>
        </is>
      </c>
      <c r="C173" s="7" t="n">
        <v>0</v>
      </c>
      <c r="D173" s="7" t="n">
        <v>28</v>
      </c>
      <c r="E173" s="7" t="n">
        <v>0</v>
      </c>
      <c r="F173" s="7" t="n">
        <v>0</v>
      </c>
      <c r="G173" s="7" t="n">
        <v>0</v>
      </c>
      <c r="H173" s="7" t="n">
        <v>28</v>
      </c>
    </row>
    <row r="174">
      <c r="A174" s="6" t="inlineStr">
        <is>
          <t>D NANJI CHAVDA EOLL</t>
        </is>
      </c>
      <c r="B174" s="6" t="inlineStr">
        <is>
          <t>A-EL PROD BELT</t>
        </is>
      </c>
      <c r="C174" s="7" t="n">
        <v>0</v>
      </c>
      <c r="D174" s="7" t="n">
        <v>28</v>
      </c>
      <c r="E174" s="7" t="n">
        <v>0</v>
      </c>
      <c r="F174" s="7" t="n">
        <v>0</v>
      </c>
      <c r="G174" s="7" t="n">
        <v>0</v>
      </c>
      <c r="H174" s="7" t="n">
        <v>28</v>
      </c>
    </row>
    <row r="175">
      <c r="A175" s="6" t="inlineStr">
        <is>
          <t>D PRAVIND EOLL</t>
        </is>
      </c>
      <c r="B175" s="6" t="inlineStr">
        <is>
          <t>A-EL PROD BELT</t>
        </is>
      </c>
      <c r="C175" s="7" t="n">
        <v>0</v>
      </c>
      <c r="D175" s="7" t="n">
        <v>7.75</v>
      </c>
      <c r="E175" s="7" t="n">
        <v>0</v>
      </c>
      <c r="F175" s="7" t="n">
        <v>0</v>
      </c>
      <c r="G175" s="7" t="n">
        <v>0</v>
      </c>
      <c r="H175" s="7" t="n">
        <v>7.75</v>
      </c>
    </row>
    <row r="176">
      <c r="A176" s="6" t="inlineStr">
        <is>
          <t>K RUPESHKUMAR GADHIYA EOLL</t>
        </is>
      </c>
      <c r="B176" s="6" t="inlineStr">
        <is>
          <t>A-EL PROD BELT</t>
        </is>
      </c>
      <c r="C176" s="7" t="n">
        <v>0</v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</row>
    <row r="177">
      <c r="A177" s="6" t="inlineStr">
        <is>
          <t>D SETHALA EOLL</t>
        </is>
      </c>
      <c r="B177" s="6" t="inlineStr">
        <is>
          <t>A-EL PROD BELT</t>
        </is>
      </c>
      <c r="C177" s="7" t="n">
        <v>0</v>
      </c>
      <c r="D177" s="7" t="n">
        <v>29.25</v>
      </c>
      <c r="E177" s="7" t="n">
        <v>0</v>
      </c>
      <c r="F177" s="7" t="n">
        <v>0</v>
      </c>
      <c r="G177" s="7" t="n">
        <v>0</v>
      </c>
      <c r="H177" s="7" t="n">
        <v>29.25</v>
      </c>
    </row>
    <row r="178">
      <c r="A178" s="6" t="inlineStr">
        <is>
          <t>B UCARO EOLL</t>
        </is>
      </c>
      <c r="B178" s="6" t="inlineStr">
        <is>
          <t>A-EL PROD BELT</t>
        </is>
      </c>
      <c r="C178" s="7" t="n">
        <v>0</v>
      </c>
      <c r="D178" s="7" t="n">
        <v>0</v>
      </c>
      <c r="E178" s="7" t="n">
        <v>0</v>
      </c>
      <c r="F178" s="7" t="n">
        <v>0</v>
      </c>
      <c r="G178" s="7" t="n">
        <v>0</v>
      </c>
      <c r="H178" s="7" t="n">
        <v>0</v>
      </c>
    </row>
    <row r="179">
      <c r="A179" s="6" t="inlineStr">
        <is>
          <t>K UKORDA BAMANIA EOLL</t>
        </is>
      </c>
      <c r="B179" s="6" t="inlineStr">
        <is>
          <t>A-EL PROD BELT</t>
        </is>
      </c>
      <c r="C179" s="7" t="n">
        <v>0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</row>
    <row r="180">
      <c r="A180" s="6" t="inlineStr">
        <is>
          <t>D VISHAL EOLL</t>
        </is>
      </c>
      <c r="B180" s="6" t="inlineStr">
        <is>
          <t>A-EL PROD BELT</t>
        </is>
      </c>
      <c r="C180" s="7" t="n">
        <v>0</v>
      </c>
      <c r="D180" s="7" t="n">
        <v>33.5</v>
      </c>
      <c r="E180" s="7" t="n">
        <v>0</v>
      </c>
      <c r="F180" s="7" t="n">
        <v>0</v>
      </c>
      <c r="G180" s="7" t="n">
        <v>0</v>
      </c>
      <c r="H180" s="7" t="n">
        <v>33.5</v>
      </c>
    </row>
    <row r="181">
      <c r="A181" s="6" t="inlineStr">
        <is>
          <t>C BABU EOLL</t>
        </is>
      </c>
      <c r="B181" s="6" t="inlineStr">
        <is>
          <t>A-EL PROD FORMING</t>
        </is>
      </c>
      <c r="C181" s="7" t="n">
        <v>0</v>
      </c>
      <c r="D181" s="7" t="n">
        <v>29.75</v>
      </c>
      <c r="E181" s="7" t="n">
        <v>0</v>
      </c>
      <c r="F181" s="7" t="n">
        <v>0</v>
      </c>
      <c r="G181" s="7" t="n">
        <v>0</v>
      </c>
      <c r="H181" s="7" t="n">
        <v>29.75</v>
      </c>
    </row>
    <row r="182">
      <c r="A182" s="6" t="inlineStr">
        <is>
          <t>P JASVANT SOLANKI EOLL</t>
        </is>
      </c>
      <c r="B182" s="6" t="inlineStr">
        <is>
          <t>A-EL PROD FORMING</t>
        </is>
      </c>
      <c r="C182" s="7" t="n">
        <v>0</v>
      </c>
      <c r="D182" s="7" t="n">
        <v>28</v>
      </c>
      <c r="E182" s="7" t="n">
        <v>0</v>
      </c>
      <c r="F182" s="7" t="n">
        <v>0</v>
      </c>
      <c r="G182" s="7" t="n">
        <v>0</v>
      </c>
      <c r="H182" s="7" t="n">
        <v>28</v>
      </c>
    </row>
    <row r="183">
      <c r="A183" s="6" t="inlineStr">
        <is>
          <t>R KANUBHAI PATEL EOLL</t>
        </is>
      </c>
      <c r="B183" s="6" t="inlineStr">
        <is>
          <t>A-EL PROD FORMING</t>
        </is>
      </c>
      <c r="C183" s="7" t="n">
        <v>0</v>
      </c>
      <c r="D183" s="7" t="n">
        <v>29.75</v>
      </c>
      <c r="E183" s="7" t="n">
        <v>0</v>
      </c>
      <c r="F183" s="7" t="n">
        <v>0</v>
      </c>
      <c r="G183" s="7" t="n">
        <v>0</v>
      </c>
      <c r="H183" s="7" t="n">
        <v>29.75</v>
      </c>
    </row>
    <row r="184">
      <c r="A184" s="6" t="inlineStr">
        <is>
          <t>S DEVA EOLL</t>
        </is>
      </c>
      <c r="B184" s="6" t="inlineStr">
        <is>
          <t>A-EL PROD FRYING</t>
        </is>
      </c>
      <c r="C184" s="7" t="n">
        <v>0</v>
      </c>
      <c r="D184" s="7" t="n">
        <v>33.25</v>
      </c>
      <c r="E184" s="7" t="n">
        <v>0</v>
      </c>
      <c r="F184" s="7" t="n">
        <v>0</v>
      </c>
      <c r="G184" s="7" t="n">
        <v>0</v>
      </c>
      <c r="H184" s="7" t="n">
        <v>33.25</v>
      </c>
    </row>
    <row r="185">
      <c r="A185" s="6" t="inlineStr">
        <is>
          <t>R KALPESHKUMAR EOLL</t>
        </is>
      </c>
      <c r="B185" s="6" t="inlineStr">
        <is>
          <t>A-EL PROD FRYING</t>
        </is>
      </c>
      <c r="C185" s="7" t="n">
        <v>0</v>
      </c>
      <c r="D185" s="7" t="n">
        <v>19</v>
      </c>
      <c r="E185" s="7" t="n">
        <v>0</v>
      </c>
      <c r="F185" s="7" t="n">
        <v>0</v>
      </c>
      <c r="G185" s="7" t="n">
        <v>0</v>
      </c>
      <c r="H185" s="7" t="n">
        <v>19</v>
      </c>
    </row>
    <row r="186">
      <c r="A186" s="6" t="inlineStr">
        <is>
          <t>P PRADIPKUMAR EOLL</t>
        </is>
      </c>
      <c r="B186" s="6" t="inlineStr">
        <is>
          <t>A-EL PROD FRYING</t>
        </is>
      </c>
      <c r="C186" s="7" t="n">
        <v>0</v>
      </c>
      <c r="D186" s="7" t="n">
        <v>27.5</v>
      </c>
      <c r="E186" s="7" t="n">
        <v>0</v>
      </c>
      <c r="F186" s="7" t="n">
        <v>0</v>
      </c>
      <c r="G186" s="7" t="n">
        <v>0</v>
      </c>
      <c r="H186" s="7" t="n">
        <v>27.5</v>
      </c>
    </row>
    <row r="187">
      <c r="A187" s="6" t="inlineStr">
        <is>
          <t>P RAMESH EOLL</t>
        </is>
      </c>
      <c r="B187" s="6" t="inlineStr">
        <is>
          <t>A-EL PROD FRYING</t>
        </is>
      </c>
      <c r="C187" s="7" t="n">
        <v>0</v>
      </c>
      <c r="D187" s="7" t="n">
        <v>41.25</v>
      </c>
      <c r="E187" s="7" t="n">
        <v>1.75</v>
      </c>
      <c r="F187" s="7" t="n">
        <v>0</v>
      </c>
      <c r="G187" s="7" t="n">
        <v>0</v>
      </c>
      <c r="H187" s="7" t="n">
        <v>43</v>
      </c>
    </row>
    <row r="188">
      <c r="A188" s="6" t="inlineStr">
        <is>
          <t>G UKARDA BAMANIA EOLL</t>
        </is>
      </c>
      <c r="B188" s="6" t="inlineStr">
        <is>
          <t>A-EL PROD FRYING</t>
        </is>
      </c>
      <c r="C188" s="7" t="n">
        <v>0</v>
      </c>
      <c r="D188" s="7" t="n">
        <v>41.25</v>
      </c>
      <c r="E188" s="7" t="n">
        <v>2.75</v>
      </c>
      <c r="F188" s="7" t="n">
        <v>0</v>
      </c>
      <c r="G188" s="7" t="n">
        <v>0</v>
      </c>
      <c r="H188" s="7" t="n">
        <v>44</v>
      </c>
    </row>
    <row r="189">
      <c r="A189" s="6" t="inlineStr">
        <is>
          <t>C ALMEIDA EOLL</t>
        </is>
      </c>
      <c r="B189" s="6" t="inlineStr">
        <is>
          <t>A-EL PROD PREPARATION</t>
        </is>
      </c>
      <c r="C189" s="7" t="n">
        <v>0</v>
      </c>
      <c r="D189" s="7" t="n">
        <v>41.25</v>
      </c>
      <c r="E189" s="7" t="n">
        <v>12</v>
      </c>
      <c r="F189" s="7" t="n">
        <v>0</v>
      </c>
      <c r="G189" s="7" t="n">
        <v>0</v>
      </c>
      <c r="H189" s="7" t="n">
        <v>53.25</v>
      </c>
    </row>
    <row r="190">
      <c r="A190" s="6" t="inlineStr">
        <is>
          <t>K BABU EOLL</t>
        </is>
      </c>
      <c r="B190" s="6" t="inlineStr">
        <is>
          <t>A-EL PROD PREPARATION</t>
        </is>
      </c>
      <c r="C190" s="7" t="n">
        <v>0</v>
      </c>
      <c r="D190" s="7" t="n">
        <v>26</v>
      </c>
      <c r="E190" s="7" t="n">
        <v>0</v>
      </c>
      <c r="F190" s="7" t="n">
        <v>0</v>
      </c>
      <c r="G190" s="7" t="n">
        <v>0</v>
      </c>
      <c r="H190" s="7" t="n">
        <v>26</v>
      </c>
    </row>
    <row r="191">
      <c r="A191" s="6" t="inlineStr">
        <is>
          <t>V CARSANE EOLL</t>
        </is>
      </c>
      <c r="B191" s="6" t="inlineStr">
        <is>
          <t>A-EL PROD PREPARATION</t>
        </is>
      </c>
      <c r="C191" s="7" t="n">
        <v>0</v>
      </c>
      <c r="D191" s="7" t="n">
        <v>27.75</v>
      </c>
      <c r="E191" s="7" t="n">
        <v>0</v>
      </c>
      <c r="F191" s="7" t="n">
        <v>0</v>
      </c>
      <c r="G191" s="7" t="n">
        <v>0</v>
      </c>
      <c r="H191" s="7" t="n">
        <v>27.75</v>
      </c>
    </row>
    <row r="192">
      <c r="A192" s="6" t="inlineStr">
        <is>
          <t>F DA CUNHA EOLL</t>
        </is>
      </c>
      <c r="B192" s="6" t="inlineStr">
        <is>
          <t>A-EL PROD PREPARATION</t>
        </is>
      </c>
      <c r="C192" s="7" t="n">
        <v>0</v>
      </c>
      <c r="D192" s="7" t="n">
        <v>41.25</v>
      </c>
      <c r="E192" s="7" t="n">
        <v>7</v>
      </c>
      <c r="F192" s="7" t="n">
        <v>0</v>
      </c>
      <c r="G192" s="7" t="n">
        <v>0</v>
      </c>
      <c r="H192" s="7" t="n">
        <v>48.25</v>
      </c>
    </row>
    <row r="193">
      <c r="A193" s="6" t="inlineStr">
        <is>
          <t>S DATTA EOLL</t>
        </is>
      </c>
      <c r="B193" s="6" t="inlineStr">
        <is>
          <t>A-EL PROD PREPARATION</t>
        </is>
      </c>
      <c r="C193" s="7" t="n">
        <v>0</v>
      </c>
      <c r="D193" s="7" t="n">
        <v>37.25</v>
      </c>
      <c r="E193" s="7" t="n">
        <v>0</v>
      </c>
      <c r="F193" s="7" t="n">
        <v>0</v>
      </c>
      <c r="G193" s="7" t="n">
        <v>0</v>
      </c>
      <c r="H193" s="7" t="n">
        <v>37.25</v>
      </c>
    </row>
    <row r="194">
      <c r="A194" s="6" t="inlineStr">
        <is>
          <t>A GIRI EOLL</t>
        </is>
      </c>
      <c r="B194" s="6" t="inlineStr">
        <is>
          <t>A-EL PROD PREPARATION</t>
        </is>
      </c>
      <c r="C194" s="7" t="n">
        <v>0</v>
      </c>
      <c r="D194" s="7" t="n">
        <v>41.25</v>
      </c>
      <c r="E194" s="7" t="n">
        <v>10.5</v>
      </c>
      <c r="F194" s="7" t="n">
        <v>0</v>
      </c>
      <c r="G194" s="7" t="n">
        <v>0</v>
      </c>
      <c r="H194" s="7" t="n">
        <v>51.75</v>
      </c>
    </row>
    <row r="195">
      <c r="A195" s="6" t="inlineStr">
        <is>
          <t>D LOBO EOLL</t>
        </is>
      </c>
      <c r="B195" s="6" t="inlineStr">
        <is>
          <t>A-EL PROD PREPARATION</t>
        </is>
      </c>
      <c r="C195" s="7" t="n">
        <v>0</v>
      </c>
      <c r="D195" s="7" t="n">
        <v>32.5</v>
      </c>
      <c r="E195" s="7" t="n">
        <v>0</v>
      </c>
      <c r="F195" s="7" t="n">
        <v>0</v>
      </c>
      <c r="G195" s="7" t="n">
        <v>0</v>
      </c>
      <c r="H195" s="7" t="n">
        <v>32.5</v>
      </c>
    </row>
    <row r="196">
      <c r="A196" s="6" t="inlineStr">
        <is>
          <t>D PREMJI EOLL</t>
        </is>
      </c>
      <c r="B196" s="6" t="inlineStr">
        <is>
          <t>A-EL PROD PREPARATION</t>
        </is>
      </c>
      <c r="C196" s="7" t="n">
        <v>0</v>
      </c>
      <c r="D196" s="7" t="n">
        <v>41.25</v>
      </c>
      <c r="E196" s="7" t="n">
        <v>10</v>
      </c>
      <c r="F196" s="7" t="n">
        <v>0</v>
      </c>
      <c r="G196" s="7" t="n">
        <v>0</v>
      </c>
      <c r="H196" s="7" t="n">
        <v>51.25</v>
      </c>
    </row>
    <row r="197">
      <c r="A197" s="6" t="inlineStr">
        <is>
          <t>K RAMESHBHAI VEKARIA EOLL</t>
        </is>
      </c>
      <c r="B197" s="6" t="inlineStr">
        <is>
          <t>A-EL TECHNICAL</t>
        </is>
      </c>
      <c r="C197" s="7" t="n">
        <v>0</v>
      </c>
      <c r="D197" s="7" t="n">
        <v>41.25</v>
      </c>
      <c r="E197" s="7" t="n">
        <v>0.5</v>
      </c>
      <c r="F197" s="7" t="n">
        <v>0</v>
      </c>
      <c r="G197" s="7" t="n">
        <v>0</v>
      </c>
      <c r="H197" s="7" t="n">
        <v>41.75</v>
      </c>
    </row>
    <row r="198">
      <c r="A198" s="6" t="inlineStr">
        <is>
          <t>T CARVALHO PRIDE MANAGEMENT</t>
        </is>
      </c>
      <c r="B198" s="6" t="inlineStr">
        <is>
          <t>A-PM PKNG HIGH_RISK</t>
        </is>
      </c>
      <c r="C198" s="7" t="n">
        <v>0</v>
      </c>
      <c r="D198" s="7" t="n">
        <v>38</v>
      </c>
      <c r="E198" s="7" t="n">
        <v>0</v>
      </c>
      <c r="F198" s="7" t="n">
        <v>0</v>
      </c>
      <c r="G198" s="7" t="n">
        <v>0</v>
      </c>
      <c r="H198" s="7" t="n">
        <v>38</v>
      </c>
    </row>
    <row r="199">
      <c r="A199" s="6" t="inlineStr">
        <is>
          <t>V KALSARIYA RESPONSE</t>
        </is>
      </c>
      <c r="B199" s="6" t="inlineStr">
        <is>
          <t>A-RS PKNG SLEEVING</t>
        </is>
      </c>
      <c r="C199" s="7" t="n">
        <v>0</v>
      </c>
      <c r="D199" s="7" t="n">
        <v>41.25</v>
      </c>
      <c r="E199" s="7" t="n">
        <v>0.5</v>
      </c>
      <c r="F199" s="7" t="n">
        <v>0</v>
      </c>
      <c r="G199" s="7" t="n">
        <v>0</v>
      </c>
      <c r="H199" s="7" t="n">
        <v>41.75</v>
      </c>
    </row>
    <row r="200">
      <c r="A200" s="6" t="inlineStr">
        <is>
          <t>S SINGH RESPONSE</t>
        </is>
      </c>
      <c r="B200" s="6" t="inlineStr">
        <is>
          <t>A-RS PROD BELT</t>
        </is>
      </c>
      <c r="C200" s="7" t="n">
        <v>0</v>
      </c>
      <c r="D200" s="7" t="n">
        <v>26.75</v>
      </c>
      <c r="E200" s="7" t="n">
        <v>0</v>
      </c>
      <c r="F200" s="7" t="n">
        <v>0</v>
      </c>
      <c r="G200" s="7" t="n">
        <v>0</v>
      </c>
      <c r="H200" s="7" t="n">
        <v>26.75</v>
      </c>
    </row>
    <row r="201">
      <c r="A201" s="6" t="inlineStr">
        <is>
          <t>H SONAWANE RESPONSE</t>
        </is>
      </c>
      <c r="B201" s="6" t="inlineStr">
        <is>
          <t>A-RS PROD BELT</t>
        </is>
      </c>
      <c r="C201" s="7" t="n">
        <v>0</v>
      </c>
      <c r="D201" s="7" t="n">
        <v>27</v>
      </c>
      <c r="E201" s="7" t="n">
        <v>0</v>
      </c>
      <c r="F201" s="7" t="n">
        <v>0</v>
      </c>
      <c r="G201" s="7" t="n">
        <v>0</v>
      </c>
      <c r="H201" s="7" t="n">
        <v>27</v>
      </c>
    </row>
    <row r="202">
      <c r="A202" s="6" t="inlineStr">
        <is>
          <t>A VAHORA RESPONSE</t>
        </is>
      </c>
      <c r="B202" s="6" t="inlineStr">
        <is>
          <t>A-RS PROD BELT</t>
        </is>
      </c>
      <c r="C202" s="7" t="n">
        <v>0</v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</row>
    <row r="203">
      <c r="A203" s="6" t="inlineStr">
        <is>
          <t>A DABGAR RESPONSE</t>
        </is>
      </c>
      <c r="B203" s="6" t="inlineStr">
        <is>
          <t>A-RS PROD FRYING</t>
        </is>
      </c>
      <c r="C203" s="7" t="n">
        <v>0</v>
      </c>
      <c r="D203" s="7" t="n">
        <v>0</v>
      </c>
      <c r="E203" s="7" t="n">
        <v>0</v>
      </c>
      <c r="F203" s="7" t="n">
        <v>0</v>
      </c>
      <c r="G203" s="7" t="n">
        <v>0</v>
      </c>
      <c r="H203" s="7" t="n">
        <v>0</v>
      </c>
    </row>
    <row r="205">
      <c r="A205" s="3" t="inlineStr">
        <is>
          <t>Adjustments (0)</t>
        </is>
      </c>
    </row>
    <row r="206">
      <c r="A206" s="4" t="inlineStr">
        <is>
          <t>Manual hour corrections recorded in the legacy weekly file.</t>
        </is>
      </c>
    </row>
    <row r="207">
      <c r="B207" s="5" t="inlineStr">
        <is>
          <t>Name</t>
        </is>
      </c>
      <c r="C207" s="5" t="inlineStr">
        <is>
          <t>Type</t>
        </is>
      </c>
      <c r="D207" s="5" t="inlineStr">
        <is>
          <t>Value</t>
        </is>
      </c>
    </row>
    <row r="209">
      <c r="A209" s="3" t="inlineStr">
        <is>
          <t>Category totals</t>
        </is>
      </c>
    </row>
    <row r="210">
      <c r="A210" s="4" t="inlineStr">
        <is>
          <t>Sum of hours by work category for this week (SUMIFS from employee rows above).</t>
        </is>
      </c>
    </row>
    <row r="211">
      <c r="A211" s="5" t="n"/>
      <c r="B211" s="5" t="inlineStr">
        <is>
          <t>Category</t>
        </is>
      </c>
      <c r="C211" s="5" t="n"/>
      <c r="D211" s="5" t="inlineStr">
        <is>
          <t>Basic hours</t>
        </is>
      </c>
      <c r="E211" s="5" t="inlineStr">
        <is>
          <t>Mon–Fri overtime</t>
        </is>
      </c>
      <c r="F211" s="5" t="inlineStr">
        <is>
          <t>Sat/Sun overtime</t>
        </is>
      </c>
      <c r="G211" s="5" t="inlineStr">
        <is>
          <t>Annual holiday</t>
        </is>
      </c>
      <c r="H211" s="5" t="inlineStr">
        <is>
          <t>Total paid hours</t>
        </is>
      </c>
    </row>
    <row r="212">
      <c r="A212" s="6" t="n"/>
      <c r="B212" s="6" t="inlineStr">
        <is>
          <t>CLNR</t>
        </is>
      </c>
      <c r="C212" s="6" t="n"/>
      <c r="D212" s="7">
        <f>SUMIFS($D$7:$D$203,$B$7:$B$203,$B212)</f>
        <v/>
      </c>
      <c r="E212" s="7">
        <f>SUMIFS($E$7:$E$203,$B$7:$B$203,$B212)</f>
        <v/>
      </c>
      <c r="F212" s="7">
        <f>SUMIFS($F$7:$F$203,$B$7:$B$203,$B212)</f>
        <v/>
      </c>
      <c r="G212" s="7">
        <f>SUMIFS($G$7:$G$203,$B$7:$B$203,$B212)</f>
        <v/>
      </c>
      <c r="H212" s="7">
        <f>SUMIFS($H$7:$H$203,$B$7:$B$203,$B212)</f>
        <v/>
      </c>
    </row>
    <row r="213">
      <c r="A213" s="6" t="n"/>
      <c r="B213" s="6" t="inlineStr">
        <is>
          <t>DPCH</t>
        </is>
      </c>
      <c r="C213" s="6" t="n"/>
      <c r="D213" s="7">
        <f>SUMIFS($D$7:$D$203,$B$7:$B$203,$B213)</f>
        <v/>
      </c>
      <c r="E213" s="7">
        <f>SUMIFS($E$7:$E$203,$B$7:$B$203,$B213)</f>
        <v/>
      </c>
      <c r="F213" s="7">
        <f>SUMIFS($F$7:$F$203,$B$7:$B$203,$B213)</f>
        <v/>
      </c>
      <c r="G213" s="7">
        <f>SUMIFS($G$7:$G$203,$B$7:$B$203,$B213)</f>
        <v/>
      </c>
      <c r="H213" s="7">
        <f>SUMIFS($H$7:$H$203,$B$7:$B$203,$B213)</f>
        <v/>
      </c>
    </row>
    <row r="214">
      <c r="A214" s="6" t="n"/>
      <c r="B214" s="6" t="inlineStr">
        <is>
          <t>OFCE</t>
        </is>
      </c>
      <c r="C214" s="6" t="n"/>
      <c r="D214" s="7">
        <f>SUMIFS($D$7:$D$203,$B$7:$B$203,$B214)</f>
        <v/>
      </c>
      <c r="E214" s="7">
        <f>SUMIFS($E$7:$E$203,$B$7:$B$203,$B214)</f>
        <v/>
      </c>
      <c r="F214" s="7">
        <f>SUMIFS($F$7:$F$203,$B$7:$B$203,$B214)</f>
        <v/>
      </c>
      <c r="G214" s="7">
        <f>SUMIFS($G$7:$G$203,$B$7:$B$203,$B214)</f>
        <v/>
      </c>
      <c r="H214" s="7">
        <f>SUMIFS($H$7:$H$203,$B$7:$B$203,$B214)</f>
        <v/>
      </c>
    </row>
    <row r="215">
      <c r="A215" s="6" t="n"/>
      <c r="B215" s="6" t="inlineStr">
        <is>
          <t>PKNG HIGH_RISK</t>
        </is>
      </c>
      <c r="C215" s="6" t="n"/>
      <c r="D215" s="7">
        <f>SUMIFS($D$7:$D$203,$B$7:$B$203,$B215)</f>
        <v/>
      </c>
      <c r="E215" s="7">
        <f>SUMIFS($E$7:$E$203,$B$7:$B$203,$B215)</f>
        <v/>
      </c>
      <c r="F215" s="7">
        <f>SUMIFS($F$7:$F$203,$B$7:$B$203,$B215)</f>
        <v/>
      </c>
      <c r="G215" s="7">
        <f>SUMIFS($G$7:$G$203,$B$7:$B$203,$B215)</f>
        <v/>
      </c>
      <c r="H215" s="7">
        <f>SUMIFS($H$7:$H$203,$B$7:$B$203,$B215)</f>
        <v/>
      </c>
    </row>
    <row r="216">
      <c r="A216" s="6" t="n"/>
      <c r="B216" s="6" t="inlineStr">
        <is>
          <t>PKNG SLEEVING</t>
        </is>
      </c>
      <c r="C216" s="6" t="n"/>
      <c r="D216" s="7">
        <f>SUMIFS($D$7:$D$203,$B$7:$B$203,$B216)</f>
        <v/>
      </c>
      <c r="E216" s="7">
        <f>SUMIFS($E$7:$E$203,$B$7:$B$203,$B216)</f>
        <v/>
      </c>
      <c r="F216" s="7">
        <f>SUMIFS($F$7:$F$203,$B$7:$B$203,$B216)</f>
        <v/>
      </c>
      <c r="G216" s="7">
        <f>SUMIFS($G$7:$G$203,$B$7:$B$203,$B216)</f>
        <v/>
      </c>
      <c r="H216" s="7">
        <f>SUMIFS($H$7:$H$203,$B$7:$B$203,$B216)</f>
        <v/>
      </c>
    </row>
    <row r="217">
      <c r="A217" s="6" t="n"/>
      <c r="B217" s="6" t="inlineStr">
        <is>
          <t>PROD BELT</t>
        </is>
      </c>
      <c r="C217" s="6" t="n"/>
      <c r="D217" s="7">
        <f>SUMIFS($D$7:$D$203,$B$7:$B$203,$B217)</f>
        <v/>
      </c>
      <c r="E217" s="7">
        <f>SUMIFS($E$7:$E$203,$B$7:$B$203,$B217)</f>
        <v/>
      </c>
      <c r="F217" s="7">
        <f>SUMIFS($F$7:$F$203,$B$7:$B$203,$B217)</f>
        <v/>
      </c>
      <c r="G217" s="7">
        <f>SUMIFS($G$7:$G$203,$B$7:$B$203,$B217)</f>
        <v/>
      </c>
      <c r="H217" s="7">
        <f>SUMIFS($H$7:$H$203,$B$7:$B$203,$B217)</f>
        <v/>
      </c>
    </row>
    <row r="218">
      <c r="A218" s="6" t="n"/>
      <c r="B218" s="6" t="inlineStr">
        <is>
          <t>PROD FORMING</t>
        </is>
      </c>
      <c r="C218" s="6" t="n"/>
      <c r="D218" s="7">
        <f>SUMIFS($D$7:$D$203,$B$7:$B$203,$B218)</f>
        <v/>
      </c>
      <c r="E218" s="7">
        <f>SUMIFS($E$7:$E$203,$B$7:$B$203,$B218)</f>
        <v/>
      </c>
      <c r="F218" s="7">
        <f>SUMIFS($F$7:$F$203,$B$7:$B$203,$B218)</f>
        <v/>
      </c>
      <c r="G218" s="7">
        <f>SUMIFS($G$7:$G$203,$B$7:$B$203,$B218)</f>
        <v/>
      </c>
      <c r="H218" s="7">
        <f>SUMIFS($H$7:$H$203,$B$7:$B$203,$B218)</f>
        <v/>
      </c>
    </row>
    <row r="219">
      <c r="A219" s="6" t="n"/>
      <c r="B219" s="6" t="inlineStr">
        <is>
          <t>PROD FRYING</t>
        </is>
      </c>
      <c r="C219" s="6" t="n"/>
      <c r="D219" s="7">
        <f>SUMIFS($D$7:$D$203,$B$7:$B$203,$B219)</f>
        <v/>
      </c>
      <c r="E219" s="7">
        <f>SUMIFS($E$7:$E$203,$B$7:$B$203,$B219)</f>
        <v/>
      </c>
      <c r="F219" s="7">
        <f>SUMIFS($F$7:$F$203,$B$7:$B$203,$B219)</f>
        <v/>
      </c>
      <c r="G219" s="7">
        <f>SUMIFS($G$7:$G$203,$B$7:$B$203,$B219)</f>
        <v/>
      </c>
      <c r="H219" s="7">
        <f>SUMIFS($H$7:$H$203,$B$7:$B$203,$B219)</f>
        <v/>
      </c>
    </row>
    <row r="220">
      <c r="A220" s="6" t="n"/>
      <c r="B220" s="6" t="inlineStr">
        <is>
          <t>PROD PREPARATION</t>
        </is>
      </c>
      <c r="C220" s="6" t="n"/>
      <c r="D220" s="7">
        <f>SUMIFS($D$7:$D$203,$B$7:$B$203,$B220)</f>
        <v/>
      </c>
      <c r="E220" s="7">
        <f>SUMIFS($E$7:$E$203,$B$7:$B$203,$B220)</f>
        <v/>
      </c>
      <c r="F220" s="7">
        <f>SUMIFS($F$7:$F$203,$B$7:$B$203,$B220)</f>
        <v/>
      </c>
      <c r="G220" s="7">
        <f>SUMIFS($G$7:$G$203,$B$7:$B$203,$B220)</f>
        <v/>
      </c>
      <c r="H220" s="7">
        <f>SUMIFS($H$7:$H$203,$B$7:$B$203,$B220)</f>
        <v/>
      </c>
    </row>
    <row r="221">
      <c r="A221" s="6" t="n"/>
      <c r="B221" s="6" t="inlineStr">
        <is>
          <t>PROD TABLE</t>
        </is>
      </c>
      <c r="C221" s="6" t="n"/>
      <c r="D221" s="7">
        <f>SUMIFS($D$7:$D$203,$B$7:$B$203,$B221)</f>
        <v/>
      </c>
      <c r="E221" s="7">
        <f>SUMIFS($E$7:$E$203,$B$7:$B$203,$B221)</f>
        <v/>
      </c>
      <c r="F221" s="7">
        <f>SUMIFS($F$7:$F$203,$B$7:$B$203,$B221)</f>
        <v/>
      </c>
      <c r="G221" s="7">
        <f>SUMIFS($G$7:$G$203,$B$7:$B$203,$B221)</f>
        <v/>
      </c>
      <c r="H221" s="7">
        <f>SUMIFS($H$7:$H$203,$B$7:$B$203,$B221)</f>
        <v/>
      </c>
    </row>
    <row r="222">
      <c r="A222" s="6" t="n"/>
      <c r="B222" s="6" t="inlineStr">
        <is>
          <t>TECH TECHNICAL</t>
        </is>
      </c>
      <c r="C222" s="6" t="n"/>
      <c r="D222" s="7">
        <f>SUMIFS($D$7:$D$203,$B$7:$B$203,$B222)</f>
        <v/>
      </c>
      <c r="E222" s="7">
        <f>SUMIFS($E$7:$E$203,$B$7:$B$203,$B222)</f>
        <v/>
      </c>
      <c r="F222" s="7">
        <f>SUMIFS($F$7:$F$203,$B$7:$B$203,$B222)</f>
        <v/>
      </c>
      <c r="G222" s="7">
        <f>SUMIFS($G$7:$G$203,$B$7:$B$203,$B222)</f>
        <v/>
      </c>
      <c r="H222" s="7">
        <f>SUMIFS($H$7:$H$203,$B$7:$B$203,$B222)</f>
        <v/>
      </c>
    </row>
    <row r="223">
      <c r="A223" s="6" t="n"/>
      <c r="B223" s="6" t="inlineStr">
        <is>
          <t>WRHS</t>
        </is>
      </c>
      <c r="C223" s="6" t="n"/>
      <c r="D223" s="7">
        <f>SUMIFS($D$7:$D$203,$B$7:$B$203,$B223)</f>
        <v/>
      </c>
      <c r="E223" s="7">
        <f>SUMIFS($E$7:$E$203,$B$7:$B$203,$B223)</f>
        <v/>
      </c>
      <c r="F223" s="7">
        <f>SUMIFS($F$7:$F$203,$B$7:$B$203,$B223)</f>
        <v/>
      </c>
      <c r="G223" s="7">
        <f>SUMIFS($G$7:$G$203,$B$7:$B$203,$B223)</f>
        <v/>
      </c>
      <c r="H223" s="7">
        <f>SUMIFS($H$7:$H$203,$B$7:$B$203,$B223)</f>
        <v/>
      </c>
    </row>
    <row r="224">
      <c r="A224" s="6" t="n"/>
      <c r="B224" s="6" t="inlineStr">
        <is>
          <t>A-EL CLNR</t>
        </is>
      </c>
      <c r="C224" s="6" t="n"/>
      <c r="D224" s="7">
        <f>SUMIFS($D$7:$D$203,$B$7:$B$203,$B224)</f>
        <v/>
      </c>
      <c r="E224" s="7">
        <f>SUMIFS($E$7:$E$203,$B$7:$B$203,$B224)</f>
        <v/>
      </c>
      <c r="F224" s="7">
        <f>SUMIFS($F$7:$F$203,$B$7:$B$203,$B224)</f>
        <v/>
      </c>
      <c r="G224" s="7">
        <f>SUMIFS($G$7:$G$203,$B$7:$B$203,$B224)</f>
        <v/>
      </c>
      <c r="H224" s="7">
        <f>SUMIFS($H$7:$H$203,$B$7:$B$203,$B224)</f>
        <v/>
      </c>
    </row>
    <row r="225">
      <c r="A225" s="6" t="n"/>
      <c r="B225" s="6" t="inlineStr">
        <is>
          <t>A-EL DPCH</t>
        </is>
      </c>
      <c r="C225" s="6" t="n"/>
      <c r="D225" s="7">
        <f>SUMIFS($D$7:$D$203,$B$7:$B$203,$B225)</f>
        <v/>
      </c>
      <c r="E225" s="7">
        <f>SUMIFS($E$7:$E$203,$B$7:$B$203,$B225)</f>
        <v/>
      </c>
      <c r="F225" s="7">
        <f>SUMIFS($F$7:$F$203,$B$7:$B$203,$B225)</f>
        <v/>
      </c>
      <c r="G225" s="7">
        <f>SUMIFS($G$7:$G$203,$B$7:$B$203,$B225)</f>
        <v/>
      </c>
      <c r="H225" s="7">
        <f>SUMIFS($H$7:$H$203,$B$7:$B$203,$B225)</f>
        <v/>
      </c>
    </row>
    <row r="226">
      <c r="A226" s="6" t="n"/>
      <c r="B226" s="6" t="inlineStr">
        <is>
          <t>A-EL PKNG HIGH_RISK</t>
        </is>
      </c>
      <c r="C226" s="6" t="n"/>
      <c r="D226" s="7">
        <f>SUMIFS($D$7:$D$203,$B$7:$B$203,$B226)</f>
        <v/>
      </c>
      <c r="E226" s="7">
        <f>SUMIFS($E$7:$E$203,$B$7:$B$203,$B226)</f>
        <v/>
      </c>
      <c r="F226" s="7">
        <f>SUMIFS($F$7:$F$203,$B$7:$B$203,$B226)</f>
        <v/>
      </c>
      <c r="G226" s="7">
        <f>SUMIFS($G$7:$G$203,$B$7:$B$203,$B226)</f>
        <v/>
      </c>
      <c r="H226" s="7">
        <f>SUMIFS($H$7:$H$203,$B$7:$B$203,$B226)</f>
        <v/>
      </c>
    </row>
    <row r="227">
      <c r="A227" s="6" t="n"/>
      <c r="B227" s="6" t="inlineStr">
        <is>
          <t>A-EL PKNG SLEEVING</t>
        </is>
      </c>
      <c r="C227" s="6" t="n"/>
      <c r="D227" s="7">
        <f>SUMIFS($D$7:$D$203,$B$7:$B$203,$B227)</f>
        <v/>
      </c>
      <c r="E227" s="7">
        <f>SUMIFS($E$7:$E$203,$B$7:$B$203,$B227)</f>
        <v/>
      </c>
      <c r="F227" s="7">
        <f>SUMIFS($F$7:$F$203,$B$7:$B$203,$B227)</f>
        <v/>
      </c>
      <c r="G227" s="7">
        <f>SUMIFS($G$7:$G$203,$B$7:$B$203,$B227)</f>
        <v/>
      </c>
      <c r="H227" s="7">
        <f>SUMIFS($H$7:$H$203,$B$7:$B$203,$B227)</f>
        <v/>
      </c>
    </row>
    <row r="228">
      <c r="A228" s="6" t="n"/>
      <c r="B228" s="6" t="inlineStr">
        <is>
          <t>A-EL PROD BELT</t>
        </is>
      </c>
      <c r="C228" s="6" t="n"/>
      <c r="D228" s="7">
        <f>SUMIFS($D$7:$D$203,$B$7:$B$203,$B228)</f>
        <v/>
      </c>
      <c r="E228" s="7">
        <f>SUMIFS($E$7:$E$203,$B$7:$B$203,$B228)</f>
        <v/>
      </c>
      <c r="F228" s="7">
        <f>SUMIFS($F$7:$F$203,$B$7:$B$203,$B228)</f>
        <v/>
      </c>
      <c r="G228" s="7">
        <f>SUMIFS($G$7:$G$203,$B$7:$B$203,$B228)</f>
        <v/>
      </c>
      <c r="H228" s="7">
        <f>SUMIFS($H$7:$H$203,$B$7:$B$203,$B228)</f>
        <v/>
      </c>
    </row>
    <row r="229">
      <c r="A229" s="6" t="n"/>
      <c r="B229" s="6" t="inlineStr">
        <is>
          <t>A-EL PROD FORMING</t>
        </is>
      </c>
      <c r="C229" s="6" t="n"/>
      <c r="D229" s="7">
        <f>SUMIFS($D$7:$D$203,$B$7:$B$203,$B229)</f>
        <v/>
      </c>
      <c r="E229" s="7">
        <f>SUMIFS($E$7:$E$203,$B$7:$B$203,$B229)</f>
        <v/>
      </c>
      <c r="F229" s="7">
        <f>SUMIFS($F$7:$F$203,$B$7:$B$203,$B229)</f>
        <v/>
      </c>
      <c r="G229" s="7">
        <f>SUMIFS($G$7:$G$203,$B$7:$B$203,$B229)</f>
        <v/>
      </c>
      <c r="H229" s="7">
        <f>SUMIFS($H$7:$H$203,$B$7:$B$203,$B229)</f>
        <v/>
      </c>
    </row>
    <row r="230">
      <c r="A230" s="6" t="n"/>
      <c r="B230" s="6" t="inlineStr">
        <is>
          <t>A-EL PROD FRYING</t>
        </is>
      </c>
      <c r="C230" s="6" t="n"/>
      <c r="D230" s="7">
        <f>SUMIFS($D$7:$D$203,$B$7:$B$203,$B230)</f>
        <v/>
      </c>
      <c r="E230" s="7">
        <f>SUMIFS($E$7:$E$203,$B$7:$B$203,$B230)</f>
        <v/>
      </c>
      <c r="F230" s="7">
        <f>SUMIFS($F$7:$F$203,$B$7:$B$203,$B230)</f>
        <v/>
      </c>
      <c r="G230" s="7">
        <f>SUMIFS($G$7:$G$203,$B$7:$B$203,$B230)</f>
        <v/>
      </c>
      <c r="H230" s="7">
        <f>SUMIFS($H$7:$H$203,$B$7:$B$203,$B230)</f>
        <v/>
      </c>
    </row>
    <row r="231">
      <c r="A231" s="6" t="n"/>
      <c r="B231" s="6" t="inlineStr">
        <is>
          <t>A-EL PROD PREPARATION</t>
        </is>
      </c>
      <c r="C231" s="6" t="n"/>
      <c r="D231" s="7">
        <f>SUMIFS($D$7:$D$203,$B$7:$B$203,$B231)</f>
        <v/>
      </c>
      <c r="E231" s="7">
        <f>SUMIFS($E$7:$E$203,$B$7:$B$203,$B231)</f>
        <v/>
      </c>
      <c r="F231" s="7">
        <f>SUMIFS($F$7:$F$203,$B$7:$B$203,$B231)</f>
        <v/>
      </c>
      <c r="G231" s="7">
        <f>SUMIFS($G$7:$G$203,$B$7:$B$203,$B231)</f>
        <v/>
      </c>
      <c r="H231" s="7">
        <f>SUMIFS($H$7:$H$203,$B$7:$B$203,$B231)</f>
        <v/>
      </c>
    </row>
    <row r="232">
      <c r="A232" s="6" t="n"/>
      <c r="B232" s="6" t="inlineStr">
        <is>
          <t>A-EL TECHNICAL</t>
        </is>
      </c>
      <c r="C232" s="6" t="n"/>
      <c r="D232" s="7">
        <f>SUMIFS($D$7:$D$203,$B$7:$B$203,$B232)</f>
        <v/>
      </c>
      <c r="E232" s="7">
        <f>SUMIFS($E$7:$E$203,$B$7:$B$203,$B232)</f>
        <v/>
      </c>
      <c r="F232" s="7">
        <f>SUMIFS($F$7:$F$203,$B$7:$B$203,$B232)</f>
        <v/>
      </c>
      <c r="G232" s="7">
        <f>SUMIFS($G$7:$G$203,$B$7:$B$203,$B232)</f>
        <v/>
      </c>
      <c r="H232" s="7">
        <f>SUMIFS($H$7:$H$203,$B$7:$B$203,$B232)</f>
        <v/>
      </c>
    </row>
    <row r="233">
      <c r="A233" s="6" t="n"/>
      <c r="B233" s="6" t="inlineStr">
        <is>
          <t>A-PM PKNG HIGH_RISK</t>
        </is>
      </c>
      <c r="C233" s="6" t="n"/>
      <c r="D233" s="7">
        <f>SUMIFS($D$7:$D$203,$B$7:$B$203,$B233)</f>
        <v/>
      </c>
      <c r="E233" s="7">
        <f>SUMIFS($E$7:$E$203,$B$7:$B$203,$B233)</f>
        <v/>
      </c>
      <c r="F233" s="7">
        <f>SUMIFS($F$7:$F$203,$B$7:$B$203,$B233)</f>
        <v/>
      </c>
      <c r="G233" s="7">
        <f>SUMIFS($G$7:$G$203,$B$7:$B$203,$B233)</f>
        <v/>
      </c>
      <c r="H233" s="7">
        <f>SUMIFS($H$7:$H$203,$B$7:$B$203,$B233)</f>
        <v/>
      </c>
    </row>
    <row r="234">
      <c r="A234" s="6" t="n"/>
      <c r="B234" s="6" t="inlineStr">
        <is>
          <t>A-RS PKNG SLEEVING</t>
        </is>
      </c>
      <c r="C234" s="6" t="n"/>
      <c r="D234" s="7">
        <f>SUMIFS($D$7:$D$203,$B$7:$B$203,$B234)</f>
        <v/>
      </c>
      <c r="E234" s="7">
        <f>SUMIFS($E$7:$E$203,$B$7:$B$203,$B234)</f>
        <v/>
      </c>
      <c r="F234" s="7">
        <f>SUMIFS($F$7:$F$203,$B$7:$B$203,$B234)</f>
        <v/>
      </c>
      <c r="G234" s="7">
        <f>SUMIFS($G$7:$G$203,$B$7:$B$203,$B234)</f>
        <v/>
      </c>
      <c r="H234" s="7">
        <f>SUMIFS($H$7:$H$203,$B$7:$B$203,$B234)</f>
        <v/>
      </c>
    </row>
    <row r="235">
      <c r="A235" s="6" t="n"/>
      <c r="B235" s="6" t="inlineStr">
        <is>
          <t>A-RS PROD BELT</t>
        </is>
      </c>
      <c r="C235" s="6" t="n"/>
      <c r="D235" s="7">
        <f>SUMIFS($D$7:$D$203,$B$7:$B$203,$B235)</f>
        <v/>
      </c>
      <c r="E235" s="7">
        <f>SUMIFS($E$7:$E$203,$B$7:$B$203,$B235)</f>
        <v/>
      </c>
      <c r="F235" s="7">
        <f>SUMIFS($F$7:$F$203,$B$7:$B$203,$B235)</f>
        <v/>
      </c>
      <c r="G235" s="7">
        <f>SUMIFS($G$7:$G$203,$B$7:$B$203,$B235)</f>
        <v/>
      </c>
      <c r="H235" s="7">
        <f>SUMIFS($H$7:$H$203,$B$7:$B$203,$B235)</f>
        <v/>
      </c>
    </row>
    <row r="236">
      <c r="A236" s="6" t="n"/>
      <c r="B236" s="6" t="inlineStr">
        <is>
          <t>A-RS PROD FRYING</t>
        </is>
      </c>
      <c r="C236" s="6" t="n"/>
      <c r="D236" s="7">
        <f>SUMIFS($D$7:$D$203,$B$7:$B$203,$B236)</f>
        <v/>
      </c>
      <c r="E236" s="7">
        <f>SUMIFS($E$7:$E$203,$B$7:$B$203,$B236)</f>
        <v/>
      </c>
      <c r="F236" s="7">
        <f>SUMIFS($F$7:$F$203,$B$7:$B$203,$B236)</f>
        <v/>
      </c>
      <c r="G236" s="7">
        <f>SUMIFS($G$7:$G$203,$B$7:$B$203,$B236)</f>
        <v/>
      </c>
      <c r="H236" s="7">
        <f>SUMIFS($H$7:$H$203,$B$7:$B$203,$B236)</f>
        <v/>
      </c>
    </row>
    <row r="238">
      <c r="A238" s="3" t="inlineStr">
        <is>
          <t>Grouped totals (by category prefix)</t>
        </is>
      </c>
    </row>
    <row r="239">
      <c r="A239" s="4" t="inlineStr">
        <is>
          <t>Categories rolled up to 4-character groups.</t>
        </is>
      </c>
    </row>
    <row r="240">
      <c r="A240" s="5" t="n"/>
      <c r="B240" s="5" t="inlineStr">
        <is>
          <t>Category</t>
        </is>
      </c>
      <c r="C240" s="5" t="n"/>
      <c r="D240" s="5" t="inlineStr">
        <is>
          <t>Basic hours</t>
        </is>
      </c>
      <c r="E240" s="5" t="inlineStr">
        <is>
          <t>Mon–Fri overtime</t>
        </is>
      </c>
      <c r="F240" s="5" t="inlineStr">
        <is>
          <t>Sat/Sun overtime</t>
        </is>
      </c>
      <c r="G240" s="5" t="inlineStr">
        <is>
          <t>Annual holiday</t>
        </is>
      </c>
      <c r="H240" s="5" t="inlineStr">
        <is>
          <t>Total paid hours</t>
        </is>
      </c>
    </row>
    <row r="241">
      <c r="A241" s="6" t="n"/>
      <c r="B241" s="6" t="inlineStr">
        <is>
          <t>A-EL CLNR</t>
        </is>
      </c>
      <c r="C241" s="6" t="n"/>
      <c r="D241" s="7" t="n">
        <v>238</v>
      </c>
      <c r="E241" s="7" t="n">
        <v>1</v>
      </c>
      <c r="F241" s="7" t="n">
        <v>0</v>
      </c>
      <c r="G241" s="7" t="n">
        <v>0</v>
      </c>
      <c r="H241" s="7" t="n">
        <v>239</v>
      </c>
    </row>
    <row r="242">
      <c r="A242" s="6" t="n"/>
      <c r="B242" s="6" t="inlineStr">
        <is>
          <t>A-EL DPCH</t>
        </is>
      </c>
      <c r="C242" s="6" t="n"/>
      <c r="D242" s="7" t="n">
        <v>36.25</v>
      </c>
      <c r="E242" s="7" t="n">
        <v>7.75</v>
      </c>
      <c r="F242" s="7" t="n">
        <v>0</v>
      </c>
      <c r="G242" s="7" t="n">
        <v>0</v>
      </c>
      <c r="H242" s="7" t="n">
        <v>44</v>
      </c>
    </row>
    <row r="243">
      <c r="A243" s="6" t="n"/>
      <c r="B243" s="6" t="inlineStr">
        <is>
          <t>A-EL PKNG</t>
        </is>
      </c>
      <c r="C243" s="6" t="n"/>
      <c r="D243" s="7" t="n">
        <v>748.25</v>
      </c>
      <c r="E243" s="7" t="n">
        <v>18.5</v>
      </c>
      <c r="F243" s="7" t="n">
        <v>0</v>
      </c>
      <c r="G243" s="7" t="n">
        <v>0</v>
      </c>
      <c r="H243" s="7" t="n">
        <v>766.75</v>
      </c>
    </row>
    <row r="244">
      <c r="A244" s="6" t="n"/>
      <c r="B244" s="6" t="inlineStr">
        <is>
          <t>A-EL PROD</t>
        </is>
      </c>
      <c r="C244" s="6" t="n"/>
      <c r="D244" s="7" t="n">
        <v>939.5</v>
      </c>
      <c r="E244" s="7" t="n">
        <v>44</v>
      </c>
      <c r="F244" s="7" t="n">
        <v>0</v>
      </c>
      <c r="G244" s="7" t="n">
        <v>0</v>
      </c>
      <c r="H244" s="7" t="n">
        <v>983.5</v>
      </c>
    </row>
    <row r="245">
      <c r="A245" s="6" t="n"/>
      <c r="B245" s="6" t="inlineStr">
        <is>
          <t>A-EL TECH</t>
        </is>
      </c>
      <c r="C245" s="6" t="n"/>
      <c r="D245" s="7" t="n">
        <v>41.25</v>
      </c>
      <c r="E245" s="7" t="n">
        <v>0.5</v>
      </c>
      <c r="F245" s="7" t="n">
        <v>0</v>
      </c>
      <c r="G245" s="7" t="n">
        <v>0</v>
      </c>
      <c r="H245" s="7" t="n">
        <v>41.75</v>
      </c>
    </row>
    <row r="246">
      <c r="A246" s="6" t="n"/>
      <c r="B246" s="6" t="inlineStr">
        <is>
          <t>A-PM PKNG</t>
        </is>
      </c>
      <c r="C246" s="6" t="n"/>
      <c r="D246" s="7" t="n">
        <v>38</v>
      </c>
      <c r="E246" s="7" t="n">
        <v>0</v>
      </c>
      <c r="F246" s="7" t="n">
        <v>0</v>
      </c>
      <c r="G246" s="7" t="n">
        <v>0</v>
      </c>
      <c r="H246" s="7" t="n">
        <v>38</v>
      </c>
    </row>
    <row r="247">
      <c r="A247" s="6" t="n"/>
      <c r="B247" s="6" t="inlineStr">
        <is>
          <t>A-RS PKNG</t>
        </is>
      </c>
      <c r="C247" s="6" t="n"/>
      <c r="D247" s="7" t="n">
        <v>41.25</v>
      </c>
      <c r="E247" s="7" t="n">
        <v>0.5</v>
      </c>
      <c r="F247" s="7" t="n">
        <v>0</v>
      </c>
      <c r="G247" s="7" t="n">
        <v>0</v>
      </c>
      <c r="H247" s="7" t="n">
        <v>41.75</v>
      </c>
    </row>
    <row r="248">
      <c r="A248" s="6" t="n"/>
      <c r="B248" s="6" t="inlineStr">
        <is>
          <t>A-RS PROD</t>
        </is>
      </c>
      <c r="C248" s="6" t="n"/>
      <c r="D248" s="7" t="n">
        <v>53.75</v>
      </c>
      <c r="E248" s="7" t="n">
        <v>0</v>
      </c>
      <c r="F248" s="7" t="n">
        <v>0</v>
      </c>
      <c r="G248" s="7" t="n">
        <v>0</v>
      </c>
      <c r="H248" s="7" t="n">
        <v>53.75</v>
      </c>
    </row>
    <row r="249">
      <c r="A249" s="6" t="n"/>
      <c r="B249" s="6" t="inlineStr">
        <is>
          <t>CLNR</t>
        </is>
      </c>
      <c r="C249" s="6" t="n"/>
      <c r="D249" s="7" t="n">
        <v>202</v>
      </c>
      <c r="E249" s="7" t="n">
        <v>9</v>
      </c>
      <c r="F249" s="7" t="n">
        <v>10.75</v>
      </c>
      <c r="G249" s="7" t="n">
        <v>0</v>
      </c>
      <c r="H249" s="7" t="n">
        <v>221.75</v>
      </c>
    </row>
    <row r="250">
      <c r="A250" s="6" t="n"/>
      <c r="B250" s="6" t="inlineStr">
        <is>
          <t>DPCH</t>
        </is>
      </c>
      <c r="C250" s="6" t="n"/>
      <c r="D250" s="7" t="n">
        <v>41.25</v>
      </c>
      <c r="E250" s="7" t="n">
        <v>26.5</v>
      </c>
      <c r="F250" s="7" t="n">
        <v>0</v>
      </c>
      <c r="G250" s="7" t="n">
        <v>0</v>
      </c>
      <c r="H250" s="7" t="n">
        <v>67.75</v>
      </c>
    </row>
    <row r="251">
      <c r="A251" s="6" t="n"/>
      <c r="B251" s="6" t="inlineStr">
        <is>
          <t>OFCE</t>
        </is>
      </c>
      <c r="C251" s="6" t="n"/>
      <c r="D251" s="7" t="n">
        <v>515.25</v>
      </c>
      <c r="E251" s="7" t="n">
        <v>34.75</v>
      </c>
      <c r="F251" s="7" t="n">
        <v>2.75</v>
      </c>
      <c r="G251" s="7" t="n">
        <v>16</v>
      </c>
      <c r="H251" s="7" t="n">
        <v>568.75</v>
      </c>
    </row>
    <row r="252">
      <c r="A252" s="6" t="n"/>
      <c r="B252" s="6" t="inlineStr">
        <is>
          <t>PKNG</t>
        </is>
      </c>
      <c r="C252" s="6" t="n"/>
      <c r="D252" s="7" t="n">
        <v>736.5</v>
      </c>
      <c r="E252" s="7" t="n">
        <v>43.25</v>
      </c>
      <c r="F252" s="7" t="n">
        <v>0</v>
      </c>
      <c r="G252" s="7" t="n">
        <v>88</v>
      </c>
      <c r="H252" s="7" t="n">
        <v>867.75</v>
      </c>
    </row>
    <row r="253">
      <c r="A253" s="6" t="n"/>
      <c r="B253" s="6" t="inlineStr">
        <is>
          <t>PROD</t>
        </is>
      </c>
      <c r="C253" s="6" t="n"/>
      <c r="D253" s="7" t="n">
        <v>1383.25</v>
      </c>
      <c r="E253" s="7" t="n">
        <v>90.5</v>
      </c>
      <c r="F253" s="7" t="n">
        <v>0</v>
      </c>
      <c r="G253" s="7" t="n">
        <v>88</v>
      </c>
      <c r="H253" s="7" t="n">
        <v>1561.75</v>
      </c>
    </row>
    <row r="254">
      <c r="A254" s="6" t="n"/>
      <c r="B254" s="6" t="inlineStr">
        <is>
          <t>TECH</t>
        </is>
      </c>
      <c r="C254" s="6" t="n"/>
      <c r="D254" s="7" t="n">
        <v>175.5</v>
      </c>
      <c r="E254" s="7" t="n">
        <v>3</v>
      </c>
      <c r="F254" s="7" t="n">
        <v>0</v>
      </c>
      <c r="G254" s="7" t="n">
        <v>20</v>
      </c>
      <c r="H254" s="7" t="n">
        <v>198.5</v>
      </c>
    </row>
    <row r="255">
      <c r="A255" s="6" t="n"/>
      <c r="B255" s="6" t="inlineStr">
        <is>
          <t>WRHS</t>
        </is>
      </c>
      <c r="C255" s="6" t="n"/>
      <c r="D255" s="7" t="n">
        <v>134.5</v>
      </c>
      <c r="E255" s="7" t="n">
        <v>16.5</v>
      </c>
      <c r="F255" s="7" t="n">
        <v>7.75</v>
      </c>
      <c r="G255" s="7" t="n">
        <v>16</v>
      </c>
      <c r="H255" s="7" t="n">
        <v>174.75</v>
      </c>
    </row>
    <row r="257">
      <c r="A257" s="3" t="inlineStr">
        <is>
          <t>Gazebo vs agency summary</t>
        </is>
      </c>
    </row>
    <row r="258">
      <c r="A258" s="4" t="inlineStr">
        <is>
          <t>EMP = Gazebo staff; AGENCY = A- categories; TOTAL = both (formulas from employee table).</t>
        </is>
      </c>
    </row>
    <row r="259">
      <c r="B259" s="5" t="inlineStr">
        <is>
          <t>Category</t>
        </is>
      </c>
      <c r="C259" s="5" t="n"/>
      <c r="D259" s="5" t="inlineStr">
        <is>
          <t>Basic hours</t>
        </is>
      </c>
      <c r="E259" s="5" t="inlineStr">
        <is>
          <t>Mon–Fri overtime</t>
        </is>
      </c>
      <c r="F259" s="5" t="inlineStr">
        <is>
          <t>Sat/Sun overtime</t>
        </is>
      </c>
      <c r="G259" s="5" t="inlineStr">
        <is>
          <t>Annual holiday</t>
        </is>
      </c>
      <c r="H259" s="5" t="inlineStr">
        <is>
          <t>Total paid hours</t>
        </is>
      </c>
    </row>
    <row r="260">
      <c r="B260" s="6" t="n"/>
      <c r="C260" s="6" t="inlineStr">
        <is>
          <t>EMP</t>
        </is>
      </c>
      <c r="D260" s="7">
        <f>SUM($D$7:$D$203)-D261</f>
        <v/>
      </c>
      <c r="E260" s="7">
        <f>SUM($E$7:$E$203)-E261</f>
        <v/>
      </c>
      <c r="F260" s="7">
        <f>SUM($F$7:$F$203)-F261</f>
        <v/>
      </c>
      <c r="G260" s="7">
        <f>SUM($G$7:$G$203)-G261</f>
        <v/>
      </c>
      <c r="H260" s="7">
        <f>SUM($H$7:$H$203)-H261</f>
        <v/>
      </c>
    </row>
    <row r="261">
      <c r="B261" s="6" t="n"/>
      <c r="C261" s="6" t="inlineStr">
        <is>
          <t>AGENCY</t>
        </is>
      </c>
      <c r="D261" s="7">
        <f>SUMPRODUCT((LEFT($B$7:$B$203,2)="A-")*($D$7:$D$203))</f>
        <v/>
      </c>
      <c r="E261" s="7">
        <f>SUMPRODUCT((LEFT($B$7:$B$203,2)="A-")*($E$7:$E$203))</f>
        <v/>
      </c>
      <c r="F261" s="7">
        <f>SUMPRODUCT((LEFT($B$7:$B$203,2)="A-")*($F$7:$F$203))</f>
        <v/>
      </c>
      <c r="G261" s="7">
        <f>SUMPRODUCT((LEFT($B$7:$B$203,2)="A-")*($G$7:$G$203))</f>
        <v/>
      </c>
      <c r="H261" s="7">
        <f>SUMPRODUCT((LEFT($B$7:$B$203,2)="A-")*($H$7:$H$203))</f>
        <v/>
      </c>
    </row>
    <row r="262">
      <c r="B262" s="6" t="n"/>
      <c r="C262" s="6" t="inlineStr">
        <is>
          <t>TOTAL</t>
        </is>
      </c>
      <c r="D262" s="7">
        <f>D260+D261</f>
        <v/>
      </c>
      <c r="E262" s="7">
        <f>E260+E261</f>
        <v/>
      </c>
      <c r="F262" s="7">
        <f>F260+F261</f>
        <v/>
      </c>
      <c r="G262" s="7">
        <f>G260+G261</f>
        <v/>
      </c>
      <c r="H262" s="7">
        <f>H260+H261</f>
        <v/>
      </c>
    </row>
  </sheetData>
  <mergeCells count="12">
    <mergeCell ref="A1:H1"/>
    <mergeCell ref="A4:H4"/>
    <mergeCell ref="A206:H206"/>
    <mergeCell ref="A209:H209"/>
    <mergeCell ref="A239:H239"/>
    <mergeCell ref="A257:H257"/>
    <mergeCell ref="A2:H2"/>
    <mergeCell ref="A205:H205"/>
    <mergeCell ref="A210:H210"/>
    <mergeCell ref="A5:H5"/>
    <mergeCell ref="A258:H258"/>
    <mergeCell ref="A238:H2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Gazebo HR — Week 2</t>
        </is>
      </c>
    </row>
    <row r="2">
      <c r="A2" s="2" t="inlineStr">
        <is>
          <t>Period: D 27/04/20269 to D 03/05/20269</t>
        </is>
      </c>
    </row>
    <row r="4">
      <c r="A4" s="3" t="inlineStr">
        <is>
          <t>Week 2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</row>
    <row r="7">
      <c r="A7" s="6" t="inlineStr">
        <is>
          <t>K CARSANE</t>
        </is>
      </c>
      <c r="B7" s="6" t="inlineStr">
        <is>
          <t>CLNR</t>
        </is>
      </c>
      <c r="C7" s="7" t="n">
        <v>692</v>
      </c>
      <c r="D7" s="7" t="n">
        <v>41.25</v>
      </c>
      <c r="E7" s="7" t="n">
        <v>2.25</v>
      </c>
      <c r="F7" s="7" t="n">
        <v>0</v>
      </c>
      <c r="G7" s="7" t="n">
        <v>0</v>
      </c>
      <c r="H7" s="7" t="n">
        <v>43.5</v>
      </c>
    </row>
    <row r="8">
      <c r="A8" s="6" t="inlineStr">
        <is>
          <t>D GIVA</t>
        </is>
      </c>
      <c r="B8" s="6" t="inlineStr">
        <is>
          <t>CLNR</t>
        </is>
      </c>
      <c r="C8" s="7" t="n">
        <v>718</v>
      </c>
      <c r="D8" s="7" t="n">
        <v>38</v>
      </c>
      <c r="E8" s="7" t="n">
        <v>0</v>
      </c>
      <c r="F8" s="7" t="n">
        <v>0</v>
      </c>
      <c r="G8" s="7" t="n">
        <v>0</v>
      </c>
      <c r="H8" s="7" t="n">
        <v>38</v>
      </c>
    </row>
    <row r="9">
      <c r="A9" s="6" t="inlineStr">
        <is>
          <t>D KUMAR NARANBHAI RATHOD</t>
        </is>
      </c>
      <c r="B9" s="6" t="inlineStr">
        <is>
          <t>CLNR</t>
        </is>
      </c>
      <c r="C9" s="7" t="n">
        <v>629</v>
      </c>
      <c r="D9" s="7" t="n">
        <v>39.75</v>
      </c>
      <c r="E9" s="7" t="n">
        <v>0</v>
      </c>
      <c r="F9" s="7" t="n">
        <v>0</v>
      </c>
      <c r="G9" s="7" t="n">
        <v>0</v>
      </c>
      <c r="H9" s="7" t="n">
        <v>39.75</v>
      </c>
    </row>
    <row r="10">
      <c r="A10" s="6" t="inlineStr">
        <is>
          <t>D NATU</t>
        </is>
      </c>
      <c r="B10" s="6" t="inlineStr">
        <is>
          <t>CLNR</t>
        </is>
      </c>
      <c r="C10" s="7" t="n">
        <v>750</v>
      </c>
      <c r="D10" s="7" t="n">
        <v>40</v>
      </c>
      <c r="E10" s="7" t="n">
        <v>9.25</v>
      </c>
      <c r="F10" s="7" t="n">
        <v>0</v>
      </c>
      <c r="G10" s="7" t="n">
        <v>0</v>
      </c>
      <c r="H10" s="7" t="n">
        <v>49.25</v>
      </c>
    </row>
    <row r="11">
      <c r="A11" s="6" t="inlineStr">
        <is>
          <t>S NATU</t>
        </is>
      </c>
      <c r="B11" s="6" t="inlineStr">
        <is>
          <t>CLNR</t>
        </is>
      </c>
      <c r="C11" s="7" t="n">
        <v>579</v>
      </c>
      <c r="D11" s="7" t="n">
        <v>0</v>
      </c>
      <c r="E11" s="7" t="n">
        <v>9.25</v>
      </c>
      <c r="F11" s="7" t="n">
        <v>8.25</v>
      </c>
      <c r="G11" s="7" t="n">
        <v>0</v>
      </c>
      <c r="H11" s="7" t="n">
        <v>17.5</v>
      </c>
    </row>
    <row r="12">
      <c r="A12" s="6" t="inlineStr">
        <is>
          <t>T TIRKEY</t>
        </is>
      </c>
      <c r="B12" s="6" t="inlineStr">
        <is>
          <t>CLNR</t>
        </is>
      </c>
      <c r="C12" s="7" t="n">
        <v>506</v>
      </c>
      <c r="D12" s="7" t="n">
        <v>40</v>
      </c>
      <c r="E12" s="7" t="n">
        <v>9.25</v>
      </c>
      <c r="F12" s="7" t="n">
        <v>0</v>
      </c>
      <c r="G12" s="7" t="n">
        <v>0</v>
      </c>
      <c r="H12" s="7" t="n">
        <v>49.25</v>
      </c>
    </row>
    <row r="13">
      <c r="A13" s="6" t="inlineStr">
        <is>
          <t>U VINAYCHANDRA</t>
        </is>
      </c>
      <c r="B13" s="6" t="inlineStr">
        <is>
          <t>DPCH</t>
        </is>
      </c>
      <c r="C13" s="7" t="n">
        <v>426</v>
      </c>
      <c r="D13" s="7" t="n">
        <v>41.25</v>
      </c>
      <c r="E13" s="7" t="n">
        <v>29</v>
      </c>
      <c r="F13" s="7" t="n">
        <v>0</v>
      </c>
      <c r="G13" s="7" t="n">
        <v>0</v>
      </c>
      <c r="H13" s="7" t="n">
        <v>70.25</v>
      </c>
    </row>
    <row r="14">
      <c r="A14" s="6" t="inlineStr">
        <is>
          <t>S BHIMJI VAGADIYA</t>
        </is>
      </c>
      <c r="B14" s="6" t="inlineStr">
        <is>
          <t>OFCE</t>
        </is>
      </c>
      <c r="C14" s="7" t="n">
        <v>749</v>
      </c>
      <c r="D14" s="7" t="n">
        <v>20</v>
      </c>
      <c r="E14" s="7" t="n">
        <v>0</v>
      </c>
      <c r="F14" s="7" t="n">
        <v>0</v>
      </c>
      <c r="G14" s="7" t="n">
        <v>0</v>
      </c>
      <c r="H14" s="7" t="n">
        <v>20</v>
      </c>
    </row>
    <row r="15">
      <c r="A15" s="6" t="inlineStr">
        <is>
          <t>D DEVUSINH BAROT</t>
        </is>
      </c>
      <c r="B15" s="6" t="inlineStr">
        <is>
          <t>OFCE</t>
        </is>
      </c>
      <c r="C15" s="7" t="n">
        <v>752</v>
      </c>
      <c r="D15" s="7" t="n">
        <v>25.25</v>
      </c>
      <c r="E15" s="7" t="n">
        <v>1.25</v>
      </c>
      <c r="F15" s="7" t="n">
        <v>0</v>
      </c>
      <c r="G15" s="7" t="n">
        <v>16</v>
      </c>
      <c r="H15" s="7" t="n">
        <v>42.5</v>
      </c>
    </row>
    <row r="16">
      <c r="A16" s="6" t="inlineStr">
        <is>
          <t>B DIKER</t>
        </is>
      </c>
      <c r="B16" s="6" t="inlineStr">
        <is>
          <t>OFCE</t>
        </is>
      </c>
      <c r="C16" s="7" t="n">
        <v>747</v>
      </c>
      <c r="D16" s="7" t="n">
        <v>41.25</v>
      </c>
      <c r="E16" s="7" t="n">
        <v>12.25</v>
      </c>
      <c r="F16" s="7" t="n">
        <v>0</v>
      </c>
      <c r="G16" s="7" t="n">
        <v>0</v>
      </c>
      <c r="H16" s="7" t="n">
        <v>53.5</v>
      </c>
    </row>
    <row r="17">
      <c r="A17" s="6" t="inlineStr">
        <is>
          <t>U GOHEL</t>
        </is>
      </c>
      <c r="B17" s="6" t="inlineStr">
        <is>
          <t>OFCE</t>
        </is>
      </c>
      <c r="C17" s="7" t="n">
        <v>691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6" t="inlineStr">
        <is>
          <t>P LEITE</t>
        </is>
      </c>
      <c r="B18" s="6" t="inlineStr">
        <is>
          <t>OFCE</t>
        </is>
      </c>
      <c r="C18" s="7" t="n">
        <v>504</v>
      </c>
      <c r="D18" s="7" t="n">
        <v>40.25</v>
      </c>
      <c r="E18" s="7" t="n">
        <v>4.5</v>
      </c>
      <c r="F18" s="7" t="n">
        <v>0</v>
      </c>
      <c r="G18" s="7" t="n">
        <v>0</v>
      </c>
      <c r="H18" s="7" t="n">
        <v>44.75</v>
      </c>
    </row>
    <row r="19">
      <c r="A19" s="6" t="inlineStr">
        <is>
          <t>P MALIK</t>
        </is>
      </c>
      <c r="B19" s="6" t="inlineStr">
        <is>
          <t>OFCE</t>
        </is>
      </c>
      <c r="C19" s="7" t="n">
        <v>679</v>
      </c>
      <c r="D19" s="7" t="n">
        <v>33.25</v>
      </c>
      <c r="E19" s="7" t="n">
        <v>2.25</v>
      </c>
      <c r="F19" s="7" t="n">
        <v>0</v>
      </c>
      <c r="G19" s="7" t="n">
        <v>8</v>
      </c>
      <c r="H19" s="7" t="n">
        <v>43.5</v>
      </c>
    </row>
    <row r="20">
      <c r="A20" s="6" t="inlineStr">
        <is>
          <t>P PANDHARIPANDE</t>
        </is>
      </c>
      <c r="B20" s="6" t="inlineStr">
        <is>
          <t>OFCE</t>
        </is>
      </c>
      <c r="C20" s="7" t="n">
        <v>660</v>
      </c>
      <c r="D20" s="7" t="n">
        <v>41.25</v>
      </c>
      <c r="E20" s="7" t="n">
        <v>0.5</v>
      </c>
      <c r="F20" s="7" t="n">
        <v>0</v>
      </c>
      <c r="G20" s="7" t="n">
        <v>0</v>
      </c>
      <c r="H20" s="7" t="n">
        <v>41.75</v>
      </c>
    </row>
    <row r="21">
      <c r="A21" s="6" t="inlineStr">
        <is>
          <t>A PODDER</t>
        </is>
      </c>
      <c r="B21" s="6" t="inlineStr">
        <is>
          <t>OFCE</t>
        </is>
      </c>
      <c r="C21" s="7" t="n">
        <v>754</v>
      </c>
      <c r="D21" s="7" t="n">
        <v>41.25</v>
      </c>
      <c r="E21" s="7" t="n">
        <v>4.25</v>
      </c>
      <c r="F21" s="7" t="n">
        <v>0</v>
      </c>
      <c r="G21" s="7" t="n">
        <v>0</v>
      </c>
      <c r="H21" s="7" t="n">
        <v>45.5</v>
      </c>
    </row>
    <row r="22">
      <c r="A22" s="6" t="inlineStr">
        <is>
          <t>G RAMESH</t>
        </is>
      </c>
      <c r="B22" s="6" t="inlineStr">
        <is>
          <t>OFCE</t>
        </is>
      </c>
      <c r="C22" s="7" t="n">
        <v>737</v>
      </c>
      <c r="D22" s="7" t="n">
        <v>25</v>
      </c>
      <c r="E22" s="7" t="n">
        <v>0</v>
      </c>
      <c r="F22" s="7" t="n">
        <v>0</v>
      </c>
      <c r="G22" s="7" t="n">
        <v>0</v>
      </c>
      <c r="H22" s="7" t="n">
        <v>25</v>
      </c>
    </row>
    <row r="23">
      <c r="A23" s="6" t="inlineStr">
        <is>
          <t>P RAMNIK</t>
        </is>
      </c>
      <c r="B23" s="6" t="inlineStr">
        <is>
          <t>OFCE</t>
        </is>
      </c>
      <c r="C23" s="7" t="n">
        <v>753</v>
      </c>
      <c r="D23" s="7" t="n">
        <v>41.25</v>
      </c>
      <c r="E23" s="7" t="n">
        <v>3</v>
      </c>
      <c r="F23" s="7" t="n">
        <v>0</v>
      </c>
      <c r="G23" s="7" t="n">
        <v>0</v>
      </c>
      <c r="H23" s="7" t="n">
        <v>44.25</v>
      </c>
    </row>
    <row r="24">
      <c r="A24" s="6" t="inlineStr">
        <is>
          <t>A RATHOD</t>
        </is>
      </c>
      <c r="B24" s="6" t="inlineStr">
        <is>
          <t>OFCE</t>
        </is>
      </c>
      <c r="C24" s="7" t="n">
        <v>369</v>
      </c>
      <c r="D24" s="7" t="n">
        <v>34</v>
      </c>
      <c r="E24" s="7" t="n">
        <v>0</v>
      </c>
      <c r="F24" s="7" t="n">
        <v>0</v>
      </c>
      <c r="G24" s="7" t="n">
        <v>4</v>
      </c>
      <c r="H24" s="7" t="n">
        <v>38</v>
      </c>
    </row>
    <row r="25">
      <c r="A25" s="6" t="inlineStr">
        <is>
          <t>K RATHOD</t>
        </is>
      </c>
      <c r="B25" s="6" t="inlineStr">
        <is>
          <t>OFCE</t>
        </is>
      </c>
      <c r="C25" s="7" t="n">
        <v>727</v>
      </c>
      <c r="D25" s="7" t="n">
        <v>37</v>
      </c>
      <c r="E25" s="7" t="n">
        <v>0</v>
      </c>
      <c r="F25" s="7" t="n">
        <v>0</v>
      </c>
      <c r="G25" s="7" t="n">
        <v>0</v>
      </c>
      <c r="H25" s="7" t="n">
        <v>37</v>
      </c>
    </row>
    <row r="26">
      <c r="A26" s="6" t="inlineStr">
        <is>
          <t>D SHAH</t>
        </is>
      </c>
      <c r="B26" s="6" t="inlineStr">
        <is>
          <t>OFCE</t>
        </is>
      </c>
      <c r="C26" s="7" t="n">
        <v>429</v>
      </c>
      <c r="D26" s="7" t="n">
        <v>33.25</v>
      </c>
      <c r="E26" s="7" t="n">
        <v>2.25</v>
      </c>
      <c r="F26" s="7" t="n">
        <v>0</v>
      </c>
      <c r="G26" s="7" t="n">
        <v>8</v>
      </c>
      <c r="H26" s="7" t="n">
        <v>43.5</v>
      </c>
    </row>
    <row r="27">
      <c r="A27" s="6" t="inlineStr">
        <is>
          <t>T SINGH SEHDEV</t>
        </is>
      </c>
      <c r="B27" s="6" t="inlineStr">
        <is>
          <t>OFCE</t>
        </is>
      </c>
      <c r="C27" s="7" t="n">
        <v>522</v>
      </c>
      <c r="D27" s="7" t="n">
        <v>41.25</v>
      </c>
      <c r="E27" s="7" t="n">
        <v>1.25</v>
      </c>
      <c r="F27" s="7" t="n">
        <v>0</v>
      </c>
      <c r="G27" s="7" t="n">
        <v>0</v>
      </c>
      <c r="H27" s="7" t="n">
        <v>42.5</v>
      </c>
    </row>
    <row r="28">
      <c r="A28" s="6" t="inlineStr">
        <is>
          <t>B VANZA</t>
        </is>
      </c>
      <c r="B28" s="6" t="inlineStr">
        <is>
          <t>OFCE</t>
        </is>
      </c>
      <c r="C28" s="7" t="n">
        <v>161</v>
      </c>
      <c r="D28" s="7" t="n">
        <v>13.25</v>
      </c>
      <c r="E28" s="7" t="n">
        <v>0</v>
      </c>
      <c r="F28" s="7" t="n">
        <v>0</v>
      </c>
      <c r="G28" s="7" t="n">
        <v>28</v>
      </c>
      <c r="H28" s="7" t="n">
        <v>41.25</v>
      </c>
    </row>
    <row r="29">
      <c r="A29" s="6" t="inlineStr">
        <is>
          <t>A BHARATBHAI VASANI</t>
        </is>
      </c>
      <c r="B29" s="6" t="inlineStr">
        <is>
          <t>PKNG HIGH_RISK</t>
        </is>
      </c>
      <c r="C29" s="7" t="n">
        <v>707</v>
      </c>
      <c r="D29" s="7" t="n">
        <v>41.25</v>
      </c>
      <c r="E29" s="7" t="n">
        <v>13</v>
      </c>
      <c r="F29" s="7" t="n">
        <v>0</v>
      </c>
      <c r="G29" s="7" t="n">
        <v>0</v>
      </c>
      <c r="H29" s="7" t="n">
        <v>54.25</v>
      </c>
    </row>
    <row r="30">
      <c r="A30" s="6" t="inlineStr">
        <is>
          <t>R DA SILVA</t>
        </is>
      </c>
      <c r="B30" s="6" t="inlineStr">
        <is>
          <t>PKNG HIGH_RISK</t>
        </is>
      </c>
      <c r="C30" s="7" t="n">
        <v>713</v>
      </c>
      <c r="D30" s="7" t="n">
        <v>37.5</v>
      </c>
      <c r="E30" s="7" t="n">
        <v>7.75</v>
      </c>
      <c r="F30" s="7" t="n">
        <v>0</v>
      </c>
      <c r="G30" s="7" t="n">
        <v>0</v>
      </c>
      <c r="H30" s="7" t="n">
        <v>45.25</v>
      </c>
    </row>
    <row r="31">
      <c r="A31" s="6" t="inlineStr">
        <is>
          <t>F DHANGAR</t>
        </is>
      </c>
      <c r="B31" s="6" t="inlineStr">
        <is>
          <t>PKNG HIGH_RISK</t>
        </is>
      </c>
      <c r="C31" s="7" t="n">
        <v>637</v>
      </c>
      <c r="D31" s="7" t="n">
        <v>41.25</v>
      </c>
      <c r="E31" s="7" t="n">
        <v>16.25</v>
      </c>
      <c r="F31" s="7" t="n">
        <v>0</v>
      </c>
      <c r="G31" s="7" t="n">
        <v>0</v>
      </c>
      <c r="H31" s="7" t="n">
        <v>57.5</v>
      </c>
    </row>
    <row r="32">
      <c r="A32" s="6" t="inlineStr">
        <is>
          <t>D DIVYA</t>
        </is>
      </c>
      <c r="B32" s="6" t="inlineStr">
        <is>
          <t>PKNG HIGH_RISK</t>
        </is>
      </c>
      <c r="C32" s="7" t="n">
        <v>734</v>
      </c>
      <c r="D32" s="7" t="n">
        <v>19</v>
      </c>
      <c r="E32" s="7" t="n">
        <v>0</v>
      </c>
      <c r="F32" s="7" t="n">
        <v>0</v>
      </c>
      <c r="G32" s="7" t="n">
        <v>0</v>
      </c>
      <c r="H32" s="7" t="n">
        <v>19</v>
      </c>
    </row>
    <row r="33">
      <c r="A33" s="6" t="inlineStr">
        <is>
          <t>A KRANYIK</t>
        </is>
      </c>
      <c r="B33" s="6" t="inlineStr">
        <is>
          <t>PKNG HIGH_RISK</t>
        </is>
      </c>
      <c r="C33" s="7" t="n">
        <v>320</v>
      </c>
      <c r="D33" s="7" t="n">
        <v>40.75</v>
      </c>
      <c r="E33" s="7" t="n">
        <v>0</v>
      </c>
      <c r="F33" s="7" t="n">
        <v>0</v>
      </c>
      <c r="G33" s="7" t="n">
        <v>0</v>
      </c>
      <c r="H33" s="7" t="n">
        <v>40.75</v>
      </c>
    </row>
    <row r="34">
      <c r="A34" s="6" t="inlineStr">
        <is>
          <t>A MAENCAR</t>
        </is>
      </c>
      <c r="B34" s="6" t="inlineStr">
        <is>
          <t>PKNG HIGH_RISK</t>
        </is>
      </c>
      <c r="C34" s="7" t="n">
        <v>445</v>
      </c>
      <c r="D34" s="7" t="n">
        <v>0</v>
      </c>
      <c r="E34" s="7" t="n">
        <v>0</v>
      </c>
      <c r="F34" s="7" t="n">
        <v>0</v>
      </c>
      <c r="G34" s="7" t="n">
        <v>16</v>
      </c>
      <c r="H34" s="7" t="n">
        <v>16</v>
      </c>
    </row>
    <row r="35">
      <c r="A35" s="6" t="inlineStr">
        <is>
          <t>S PERUMAL MURTHI</t>
        </is>
      </c>
      <c r="B35" s="6" t="inlineStr">
        <is>
          <t>PKNG HIGH_RISK</t>
        </is>
      </c>
      <c r="C35" s="7" t="n">
        <v>751</v>
      </c>
      <c r="D35" s="7" t="n">
        <v>37.5</v>
      </c>
      <c r="E35" s="7" t="n">
        <v>0</v>
      </c>
      <c r="F35" s="7" t="n">
        <v>0</v>
      </c>
      <c r="G35" s="7" t="n">
        <v>0</v>
      </c>
      <c r="H35" s="7" t="n">
        <v>37.5</v>
      </c>
    </row>
    <row r="36">
      <c r="A36" s="6" t="inlineStr">
        <is>
          <t>N SOMA</t>
        </is>
      </c>
      <c r="B36" s="6" t="inlineStr">
        <is>
          <t>PKNG HIGH_RISK</t>
        </is>
      </c>
      <c r="C36" s="7" t="n">
        <v>724</v>
      </c>
      <c r="D36" s="7" t="n">
        <v>38.75</v>
      </c>
      <c r="E36" s="7" t="n">
        <v>8</v>
      </c>
      <c r="F36" s="7" t="n">
        <v>0</v>
      </c>
      <c r="G36" s="7" t="n">
        <v>0</v>
      </c>
      <c r="H36" s="7" t="n">
        <v>46.75</v>
      </c>
    </row>
    <row r="37">
      <c r="A37" s="6" t="inlineStr">
        <is>
          <t>R SUREXA NAIQUE</t>
        </is>
      </c>
      <c r="B37" s="6" t="inlineStr">
        <is>
          <t>PKNG HIGH_RISK</t>
        </is>
      </c>
      <c r="C37" s="7" t="n">
        <v>714</v>
      </c>
      <c r="D37" s="7" t="n">
        <v>31.25</v>
      </c>
      <c r="E37" s="7" t="n">
        <v>7.75</v>
      </c>
      <c r="F37" s="7" t="n">
        <v>0</v>
      </c>
      <c r="G37" s="7" t="n">
        <v>0</v>
      </c>
      <c r="H37" s="7" t="n">
        <v>39</v>
      </c>
    </row>
    <row r="38">
      <c r="A38" s="6" t="inlineStr">
        <is>
          <t>L XAVERINA LOPES</t>
        </is>
      </c>
      <c r="B38" s="6" t="inlineStr">
        <is>
          <t>PKNG HIGH_RISK</t>
        </is>
      </c>
      <c r="C38" s="7" t="n">
        <v>726</v>
      </c>
      <c r="D38" s="7" t="n">
        <v>37.5</v>
      </c>
      <c r="E38" s="7" t="n">
        <v>0</v>
      </c>
      <c r="F38" s="7" t="n">
        <v>0</v>
      </c>
      <c r="G38" s="7" t="n">
        <v>0</v>
      </c>
      <c r="H38" s="7" t="n">
        <v>37.5</v>
      </c>
    </row>
    <row r="39">
      <c r="A39" s="6" t="inlineStr">
        <is>
          <t>R BAGOANE</t>
        </is>
      </c>
      <c r="B39" s="6" t="inlineStr">
        <is>
          <t>PKNG SLEEVING</t>
        </is>
      </c>
      <c r="C39" s="7" t="n">
        <v>254</v>
      </c>
      <c r="D39" s="7" t="n">
        <v>41.25</v>
      </c>
      <c r="E39" s="7" t="n">
        <v>10.25</v>
      </c>
      <c r="F39" s="7" t="n">
        <v>0</v>
      </c>
      <c r="G39" s="7" t="n">
        <v>0</v>
      </c>
      <c r="H39" s="7" t="n">
        <v>51.5</v>
      </c>
    </row>
    <row r="40">
      <c r="A40" s="6" t="inlineStr">
        <is>
          <t>K CALA</t>
        </is>
      </c>
      <c r="B40" s="6" t="inlineStr">
        <is>
          <t>PKNG SLEEVING</t>
        </is>
      </c>
      <c r="C40" s="7" t="n">
        <v>392</v>
      </c>
      <c r="D40" s="7" t="n">
        <v>39</v>
      </c>
      <c r="E40" s="7" t="n">
        <v>0</v>
      </c>
      <c r="F40" s="7" t="n">
        <v>0</v>
      </c>
      <c r="G40" s="7" t="n">
        <v>0</v>
      </c>
      <c r="H40" s="7" t="n">
        <v>39</v>
      </c>
    </row>
    <row r="41">
      <c r="A41" s="6" t="inlineStr">
        <is>
          <t>T CANGI</t>
        </is>
      </c>
      <c r="B41" s="6" t="inlineStr">
        <is>
          <t>PKNG SLEEVING</t>
        </is>
      </c>
      <c r="C41" s="7" t="n">
        <v>687</v>
      </c>
      <c r="D41" s="7" t="n">
        <v>36.5</v>
      </c>
      <c r="E41" s="7" t="n">
        <v>7.75</v>
      </c>
      <c r="F41" s="7" t="n">
        <v>0</v>
      </c>
      <c r="G41" s="7" t="n">
        <v>0</v>
      </c>
      <c r="H41" s="7" t="n">
        <v>44.25</v>
      </c>
    </row>
    <row r="42">
      <c r="A42" s="6" t="inlineStr">
        <is>
          <t>J CARSANE</t>
        </is>
      </c>
      <c r="B42" s="6" t="inlineStr">
        <is>
          <t>PKNG SLEEVING</t>
        </is>
      </c>
      <c r="C42" s="7" t="n">
        <v>669</v>
      </c>
      <c r="D42" s="7" t="n">
        <v>22.5</v>
      </c>
      <c r="E42" s="7" t="n">
        <v>7.75</v>
      </c>
      <c r="F42" s="7" t="n">
        <v>0</v>
      </c>
      <c r="G42" s="7" t="n">
        <v>16</v>
      </c>
      <c r="H42" s="7" t="n">
        <v>46.25</v>
      </c>
    </row>
    <row r="43">
      <c r="A43" s="6" t="inlineStr">
        <is>
          <t>S DIAS</t>
        </is>
      </c>
      <c r="B43" s="6" t="inlineStr">
        <is>
          <t>PKNG SLEEVING</t>
        </is>
      </c>
      <c r="C43" s="7" t="n">
        <v>730</v>
      </c>
      <c r="D43" s="7" t="n">
        <v>38.5</v>
      </c>
      <c r="E43" s="7" t="n">
        <v>0</v>
      </c>
      <c r="F43" s="7" t="n">
        <v>0</v>
      </c>
      <c r="G43" s="7" t="n">
        <v>0</v>
      </c>
      <c r="H43" s="7" t="n">
        <v>38.5</v>
      </c>
    </row>
    <row r="44">
      <c r="A44" s="6" t="inlineStr">
        <is>
          <t>D MEGGI</t>
        </is>
      </c>
      <c r="B44" s="6" t="inlineStr">
        <is>
          <t>PKNG SLEEVING</t>
        </is>
      </c>
      <c r="C44" s="7" t="n">
        <v>387</v>
      </c>
      <c r="D44" s="7" t="n">
        <v>37</v>
      </c>
      <c r="E44" s="7" t="n">
        <v>7.75</v>
      </c>
      <c r="F44" s="7" t="n">
        <v>0</v>
      </c>
      <c r="G44" s="7" t="n">
        <v>0</v>
      </c>
      <c r="H44" s="7" t="n">
        <v>44.75</v>
      </c>
    </row>
    <row r="45">
      <c r="A45" s="6" t="inlineStr">
        <is>
          <t>V MUKESHBHAI PATEL</t>
        </is>
      </c>
      <c r="B45" s="6" t="inlineStr">
        <is>
          <t>PKNG SLEEVING</t>
        </is>
      </c>
      <c r="C45" s="7" t="n">
        <v>683</v>
      </c>
      <c r="D45" s="7" t="n">
        <v>41.25</v>
      </c>
      <c r="E45" s="7" t="n">
        <v>8</v>
      </c>
      <c r="F45" s="7" t="n">
        <v>0</v>
      </c>
      <c r="G45" s="7" t="n">
        <v>0</v>
      </c>
      <c r="H45" s="7" t="n">
        <v>49.25</v>
      </c>
    </row>
    <row r="46">
      <c r="A46" s="6" t="inlineStr">
        <is>
          <t>M PEMGI</t>
        </is>
      </c>
      <c r="B46" s="6" t="inlineStr">
        <is>
          <t>PKNG SLEEVING</t>
        </is>
      </c>
      <c r="C46" s="7" t="n">
        <v>681</v>
      </c>
      <c r="D46" s="7" t="n">
        <v>39.75</v>
      </c>
      <c r="E46" s="7" t="n">
        <v>0</v>
      </c>
      <c r="F46" s="7" t="n">
        <v>0</v>
      </c>
      <c r="G46" s="7" t="n">
        <v>0</v>
      </c>
      <c r="H46" s="7" t="n">
        <v>39.75</v>
      </c>
    </row>
    <row r="47">
      <c r="A47" s="6" t="inlineStr">
        <is>
          <t>V RAMJI</t>
        </is>
      </c>
      <c r="B47" s="6" t="inlineStr">
        <is>
          <t>PKNG SLEEVING</t>
        </is>
      </c>
      <c r="C47" s="7" t="n">
        <v>693</v>
      </c>
      <c r="D47" s="7" t="n">
        <v>40</v>
      </c>
      <c r="E47" s="7" t="n">
        <v>7.5</v>
      </c>
      <c r="F47" s="7" t="n">
        <v>0</v>
      </c>
      <c r="G47" s="7" t="n">
        <v>0</v>
      </c>
      <c r="H47" s="7" t="n">
        <v>47.5</v>
      </c>
    </row>
    <row r="48">
      <c r="A48" s="6" t="inlineStr">
        <is>
          <t>J SOMA CHAVDA</t>
        </is>
      </c>
      <c r="B48" s="6" t="inlineStr">
        <is>
          <t>PKNG SLEEVING</t>
        </is>
      </c>
      <c r="C48" s="7" t="n">
        <v>715</v>
      </c>
      <c r="D48" s="7" t="n">
        <v>0</v>
      </c>
      <c r="E48" s="7" t="n">
        <v>0</v>
      </c>
      <c r="F48" s="7" t="n">
        <v>0</v>
      </c>
      <c r="G48" s="7" t="n">
        <v>40</v>
      </c>
      <c r="H48" s="7" t="n">
        <v>40</v>
      </c>
    </row>
    <row r="49">
      <c r="A49" s="6" t="inlineStr">
        <is>
          <t>D TULSHIDAS</t>
        </is>
      </c>
      <c r="B49" s="6" t="inlineStr">
        <is>
          <t>PKNG SLEEVING</t>
        </is>
      </c>
      <c r="C49" s="7" t="n">
        <v>719</v>
      </c>
      <c r="D49" s="7" t="n">
        <v>41.25</v>
      </c>
      <c r="E49" s="7" t="n">
        <v>7.5</v>
      </c>
      <c r="F49" s="7" t="n">
        <v>0</v>
      </c>
      <c r="G49" s="7" t="n">
        <v>0</v>
      </c>
      <c r="H49" s="7" t="n">
        <v>48.75</v>
      </c>
    </row>
    <row r="50">
      <c r="A50" s="6" t="inlineStr">
        <is>
          <t>U BHARAT</t>
        </is>
      </c>
      <c r="B50" s="6" t="inlineStr">
        <is>
          <t>PROD BELT</t>
        </is>
      </c>
      <c r="C50" s="7" t="n">
        <v>646</v>
      </c>
      <c r="D50" s="7" t="n">
        <v>26.75</v>
      </c>
      <c r="E50" s="7" t="n">
        <v>0</v>
      </c>
      <c r="F50" s="7" t="n">
        <v>0</v>
      </c>
      <c r="G50" s="7" t="n">
        <v>0</v>
      </c>
      <c r="H50" s="7" t="n">
        <v>26.75</v>
      </c>
    </row>
    <row r="51">
      <c r="A51" s="6" t="inlineStr">
        <is>
          <t>A DANGAR</t>
        </is>
      </c>
      <c r="B51" s="6" t="inlineStr">
        <is>
          <t>PROD BELT</t>
        </is>
      </c>
      <c r="C51" s="7" t="n">
        <v>124</v>
      </c>
      <c r="D51" s="7" t="n">
        <v>32</v>
      </c>
      <c r="E51" s="7" t="n">
        <v>0</v>
      </c>
      <c r="F51" s="7" t="n">
        <v>0</v>
      </c>
      <c r="G51" s="7" t="n">
        <v>0</v>
      </c>
      <c r="H51" s="7" t="n">
        <v>32</v>
      </c>
    </row>
    <row r="52">
      <c r="A52" s="6" t="inlineStr">
        <is>
          <t>L DEVI THAPA</t>
        </is>
      </c>
      <c r="B52" s="6" t="inlineStr">
        <is>
          <t>PROD BELT</t>
        </is>
      </c>
      <c r="C52" s="7" t="n">
        <v>645</v>
      </c>
      <c r="D52" s="7" t="n">
        <v>23.75</v>
      </c>
      <c r="E52" s="7" t="n">
        <v>0</v>
      </c>
      <c r="F52" s="7" t="n">
        <v>0</v>
      </c>
      <c r="G52" s="7" t="n">
        <v>0</v>
      </c>
      <c r="H52" s="7" t="n">
        <v>23.75</v>
      </c>
    </row>
    <row r="53">
      <c r="A53" s="6" t="inlineStr">
        <is>
          <t>J DEVJI</t>
        </is>
      </c>
      <c r="B53" s="6" t="inlineStr">
        <is>
          <t>PROD BELT</t>
        </is>
      </c>
      <c r="C53" s="7" t="n">
        <v>662</v>
      </c>
      <c r="D53" s="7" t="n">
        <v>34.25</v>
      </c>
      <c r="E53" s="7" t="n">
        <v>0</v>
      </c>
      <c r="F53" s="7" t="n">
        <v>0</v>
      </c>
      <c r="G53" s="7" t="n">
        <v>0</v>
      </c>
      <c r="H53" s="7" t="n">
        <v>34.25</v>
      </c>
    </row>
    <row r="54">
      <c r="A54" s="6" t="inlineStr">
        <is>
          <t>L GIVA</t>
        </is>
      </c>
      <c r="B54" s="6" t="inlineStr">
        <is>
          <t>PROD BELT</t>
        </is>
      </c>
      <c r="C54" s="7" t="n">
        <v>584</v>
      </c>
      <c r="D54" s="7" t="n">
        <v>36</v>
      </c>
      <c r="E54" s="7" t="n">
        <v>0</v>
      </c>
      <c r="F54" s="7" t="n">
        <v>0</v>
      </c>
      <c r="G54" s="7" t="n">
        <v>0</v>
      </c>
      <c r="H54" s="7" t="n">
        <v>36</v>
      </c>
    </row>
    <row r="55">
      <c r="A55" s="6" t="inlineStr">
        <is>
          <t>B GURUNG</t>
        </is>
      </c>
      <c r="B55" s="6" t="inlineStr">
        <is>
          <t>PROD BELT</t>
        </is>
      </c>
      <c r="C55" s="7" t="n">
        <v>40</v>
      </c>
      <c r="D55" s="7" t="n">
        <v>35.5</v>
      </c>
      <c r="E55" s="7" t="n">
        <v>0</v>
      </c>
      <c r="F55" s="7" t="n">
        <v>0</v>
      </c>
      <c r="G55" s="7" t="n">
        <v>0</v>
      </c>
      <c r="H55" s="7" t="n">
        <v>35.5</v>
      </c>
    </row>
    <row r="56">
      <c r="A56" s="6" t="inlineStr">
        <is>
          <t>E KECZAN</t>
        </is>
      </c>
      <c r="B56" s="6" t="inlineStr">
        <is>
          <t>PROD BELT</t>
        </is>
      </c>
      <c r="C56" s="7" t="n">
        <v>204</v>
      </c>
      <c r="D56" s="7" t="n">
        <v>36</v>
      </c>
      <c r="E56" s="7" t="n">
        <v>0</v>
      </c>
      <c r="F56" s="7" t="n">
        <v>0</v>
      </c>
      <c r="G56" s="7" t="n">
        <v>0</v>
      </c>
      <c r="H56" s="7" t="n">
        <v>36</v>
      </c>
    </row>
    <row r="57">
      <c r="A57" s="6" t="inlineStr">
        <is>
          <t>M MAHENDRA</t>
        </is>
      </c>
      <c r="B57" s="6" t="inlineStr">
        <is>
          <t>PROD BELT</t>
        </is>
      </c>
      <c r="C57" s="7" t="n">
        <v>746</v>
      </c>
      <c r="D57" s="7" t="n">
        <v>24</v>
      </c>
      <c r="E57" s="7" t="n">
        <v>0</v>
      </c>
      <c r="F57" s="7" t="n">
        <v>0</v>
      </c>
      <c r="G57" s="7" t="n">
        <v>0</v>
      </c>
      <c r="H57" s="7" t="n">
        <v>24</v>
      </c>
    </row>
    <row r="58">
      <c r="A58" s="6" t="inlineStr">
        <is>
          <t>V PATEL</t>
        </is>
      </c>
      <c r="B58" s="6" t="inlineStr">
        <is>
          <t>PROD BELT</t>
        </is>
      </c>
      <c r="C58" s="7" t="n">
        <v>18</v>
      </c>
      <c r="D58" s="7" t="n">
        <v>29.25</v>
      </c>
      <c r="E58" s="7" t="n">
        <v>0</v>
      </c>
      <c r="F58" s="7" t="n">
        <v>0</v>
      </c>
      <c r="G58" s="7" t="n">
        <v>0</v>
      </c>
      <c r="H58" s="7" t="n">
        <v>29.25</v>
      </c>
    </row>
    <row r="59">
      <c r="A59" s="6" t="inlineStr">
        <is>
          <t>V PILLAIYANAR</t>
        </is>
      </c>
      <c r="B59" s="6" t="inlineStr">
        <is>
          <t>PROD BELT</t>
        </is>
      </c>
      <c r="C59" s="7" t="n">
        <v>150</v>
      </c>
      <c r="D59" s="7" t="n">
        <v>28.25</v>
      </c>
      <c r="E59" s="7" t="n">
        <v>0</v>
      </c>
      <c r="F59" s="7" t="n">
        <v>0</v>
      </c>
      <c r="G59" s="7" t="n">
        <v>0</v>
      </c>
      <c r="H59" s="7" t="n">
        <v>28.25</v>
      </c>
    </row>
    <row r="60">
      <c r="A60" s="6" t="inlineStr">
        <is>
          <t>D RAJA</t>
        </is>
      </c>
      <c r="B60" s="6" t="inlineStr">
        <is>
          <t>PROD BELT</t>
        </is>
      </c>
      <c r="C60" s="7" t="n">
        <v>550</v>
      </c>
      <c r="D60" s="7" t="n">
        <v>23.75</v>
      </c>
      <c r="E60" s="7" t="n">
        <v>0</v>
      </c>
      <c r="F60" s="7" t="n">
        <v>0</v>
      </c>
      <c r="G60" s="7" t="n">
        <v>0</v>
      </c>
      <c r="H60" s="7" t="n">
        <v>23.75</v>
      </c>
    </row>
    <row r="61">
      <c r="A61" s="6" t="inlineStr">
        <is>
          <t>U RAMESH</t>
        </is>
      </c>
      <c r="B61" s="6" t="inlineStr">
        <is>
          <t>PROD BELT</t>
        </is>
      </c>
      <c r="C61" s="7" t="n">
        <v>733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</row>
    <row r="62">
      <c r="A62" s="6" t="inlineStr">
        <is>
          <t>U SHRESTHA</t>
        </is>
      </c>
      <c r="B62" s="6" t="inlineStr">
        <is>
          <t>PROD BELT</t>
        </is>
      </c>
      <c r="C62" s="7" t="n">
        <v>330</v>
      </c>
      <c r="D62" s="7" t="n">
        <v>34.25</v>
      </c>
      <c r="E62" s="7" t="n">
        <v>0</v>
      </c>
      <c r="F62" s="7" t="n">
        <v>0</v>
      </c>
      <c r="G62" s="7" t="n">
        <v>0</v>
      </c>
      <c r="H62" s="7" t="n">
        <v>34.25</v>
      </c>
    </row>
    <row r="63">
      <c r="A63" s="6" t="inlineStr">
        <is>
          <t>A THAKKAR</t>
        </is>
      </c>
      <c r="B63" s="6" t="inlineStr">
        <is>
          <t>PROD BELT</t>
        </is>
      </c>
      <c r="C63" s="7" t="n">
        <v>50</v>
      </c>
      <c r="D63" s="7" t="n">
        <v>35.25</v>
      </c>
      <c r="E63" s="7" t="n">
        <v>0</v>
      </c>
      <c r="F63" s="7" t="n">
        <v>0</v>
      </c>
      <c r="G63" s="7" t="n">
        <v>0</v>
      </c>
      <c r="H63" s="7" t="n">
        <v>35.25</v>
      </c>
    </row>
    <row r="64">
      <c r="A64" s="6" t="inlineStr">
        <is>
          <t>N UCARO</t>
        </is>
      </c>
      <c r="B64" s="6" t="inlineStr">
        <is>
          <t>PROD BELT</t>
        </is>
      </c>
      <c r="C64" s="7" t="n">
        <v>663</v>
      </c>
      <c r="D64" s="7" t="n">
        <v>34.25</v>
      </c>
      <c r="E64" s="7" t="n">
        <v>0</v>
      </c>
      <c r="F64" s="7" t="n">
        <v>0</v>
      </c>
      <c r="G64" s="7" t="n">
        <v>0</v>
      </c>
      <c r="H64" s="7" t="n">
        <v>34.25</v>
      </c>
    </row>
    <row r="65">
      <c r="A65" s="6" t="inlineStr">
        <is>
          <t>H BHAGVAN</t>
        </is>
      </c>
      <c r="B65" s="6" t="inlineStr">
        <is>
          <t>PROD FORMING</t>
        </is>
      </c>
      <c r="C65" s="7" t="n">
        <v>741</v>
      </c>
      <c r="D65" s="7" t="n">
        <v>32.25</v>
      </c>
      <c r="E65" s="7" t="n">
        <v>0</v>
      </c>
      <c r="F65" s="7" t="n">
        <v>0</v>
      </c>
      <c r="G65" s="7" t="n">
        <v>0</v>
      </c>
      <c r="H65" s="7" t="n">
        <v>32.25</v>
      </c>
    </row>
    <row r="66">
      <c r="A66" s="6" t="inlineStr">
        <is>
          <t>H CALA</t>
        </is>
      </c>
      <c r="B66" s="6" t="inlineStr">
        <is>
          <t>PROD FORMING</t>
        </is>
      </c>
      <c r="C66" s="7" t="n">
        <v>606</v>
      </c>
      <c r="D66" s="7" t="n">
        <v>35.5</v>
      </c>
      <c r="E66" s="7" t="n">
        <v>0</v>
      </c>
      <c r="F66" s="7" t="n">
        <v>0</v>
      </c>
      <c r="G66" s="7" t="n">
        <v>0</v>
      </c>
      <c r="H66" s="7" t="n">
        <v>35.5</v>
      </c>
    </row>
    <row r="67">
      <c r="A67" s="6" t="inlineStr">
        <is>
          <t>A CARVALHO</t>
        </is>
      </c>
      <c r="B67" s="6" t="inlineStr">
        <is>
          <t>PROD FORMING</t>
        </is>
      </c>
      <c r="C67" s="7" t="n">
        <v>444</v>
      </c>
      <c r="D67" s="7" t="n">
        <v>41.25</v>
      </c>
      <c r="E67" s="7" t="n">
        <v>2</v>
      </c>
      <c r="F67" s="7" t="n">
        <v>0</v>
      </c>
      <c r="G67" s="7" t="n">
        <v>0</v>
      </c>
      <c r="H67" s="7" t="n">
        <v>43.25</v>
      </c>
    </row>
    <row r="68">
      <c r="A68" s="6" t="inlineStr">
        <is>
          <t>U HARJI</t>
        </is>
      </c>
      <c r="B68" s="6" t="inlineStr">
        <is>
          <t>PROD FORMING</t>
        </is>
      </c>
      <c r="C68" s="7" t="n">
        <v>739</v>
      </c>
      <c r="D68" s="7" t="n">
        <v>34.25</v>
      </c>
      <c r="E68" s="7" t="n">
        <v>0</v>
      </c>
      <c r="F68" s="7" t="n">
        <v>0</v>
      </c>
      <c r="G68" s="7" t="n">
        <v>0</v>
      </c>
      <c r="H68" s="7" t="n">
        <v>34.25</v>
      </c>
    </row>
    <row r="69">
      <c r="A69" s="6" t="inlineStr">
        <is>
          <t>B NARSINH VAISHYA</t>
        </is>
      </c>
      <c r="B69" s="6" t="inlineStr">
        <is>
          <t>PROD FORMING</t>
        </is>
      </c>
      <c r="C69" s="7" t="n">
        <v>738</v>
      </c>
      <c r="D69" s="7" t="n">
        <v>34.25</v>
      </c>
      <c r="E69" s="7" t="n">
        <v>0</v>
      </c>
      <c r="F69" s="7" t="n">
        <v>0</v>
      </c>
      <c r="G69" s="7" t="n">
        <v>0</v>
      </c>
      <c r="H69" s="7" t="n">
        <v>34.25</v>
      </c>
    </row>
    <row r="70">
      <c r="A70" s="6" t="inlineStr">
        <is>
          <t>S VARJANGUE</t>
        </is>
      </c>
      <c r="B70" s="6" t="inlineStr">
        <is>
          <t>PROD FORMING</t>
        </is>
      </c>
      <c r="C70" s="7" t="n">
        <v>528</v>
      </c>
      <c r="D70" s="7" t="n">
        <v>41.25</v>
      </c>
      <c r="E70" s="7" t="n">
        <v>0.25</v>
      </c>
      <c r="F70" s="7" t="n">
        <v>0</v>
      </c>
      <c r="G70" s="7" t="n">
        <v>0</v>
      </c>
      <c r="H70" s="7" t="n">
        <v>41.5</v>
      </c>
    </row>
    <row r="71">
      <c r="A71" s="6" t="inlineStr">
        <is>
          <t>A AKRITI</t>
        </is>
      </c>
      <c r="B71" s="6" t="inlineStr">
        <is>
          <t>PROD FRYING</t>
        </is>
      </c>
      <c r="C71" s="7" t="n">
        <v>709</v>
      </c>
      <c r="D71" s="7" t="n">
        <v>34.25</v>
      </c>
      <c r="E71" s="7" t="n">
        <v>0</v>
      </c>
      <c r="F71" s="7" t="n">
        <v>0</v>
      </c>
      <c r="G71" s="7" t="n">
        <v>0</v>
      </c>
      <c r="H71" s="7" t="n">
        <v>34.25</v>
      </c>
    </row>
    <row r="72">
      <c r="A72" s="6" t="inlineStr">
        <is>
          <t>R BAHADUR BHANDARI</t>
        </is>
      </c>
      <c r="B72" s="6" t="inlineStr">
        <is>
          <t>PROD FRYING</t>
        </is>
      </c>
      <c r="C72" s="7" t="n">
        <v>700</v>
      </c>
      <c r="D72" s="7" t="n">
        <v>34</v>
      </c>
      <c r="E72" s="7" t="n">
        <v>6.75</v>
      </c>
      <c r="F72" s="7" t="n">
        <v>0</v>
      </c>
      <c r="G72" s="7" t="n">
        <v>0</v>
      </c>
      <c r="H72" s="7" t="n">
        <v>40.75</v>
      </c>
    </row>
    <row r="73">
      <c r="A73" s="6" t="inlineStr">
        <is>
          <t>P BAHADUR JIREL</t>
        </is>
      </c>
      <c r="B73" s="6" t="inlineStr">
        <is>
          <t>PROD FRYING</t>
        </is>
      </c>
      <c r="C73" s="7" t="n">
        <v>578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</row>
    <row r="74">
      <c r="A74" s="6" t="inlineStr">
        <is>
          <t>L BUTIENE</t>
        </is>
      </c>
      <c r="B74" s="6" t="inlineStr">
        <is>
          <t>PROD FRYING</t>
        </is>
      </c>
      <c r="C74" s="7" t="n">
        <v>21</v>
      </c>
      <c r="D74" s="7" t="n">
        <v>34.5</v>
      </c>
      <c r="E74" s="7" t="n">
        <v>0</v>
      </c>
      <c r="F74" s="7" t="n">
        <v>0</v>
      </c>
      <c r="G74" s="7" t="n">
        <v>0</v>
      </c>
      <c r="H74" s="7" t="n">
        <v>34.5</v>
      </c>
    </row>
    <row r="75">
      <c r="A75" s="6" t="inlineStr">
        <is>
          <t>J HANSRAJBHAI VAGHASIYA</t>
        </is>
      </c>
      <c r="B75" s="6" t="inlineStr">
        <is>
          <t>PROD FRYING</t>
        </is>
      </c>
      <c r="C75" s="7" t="n">
        <v>740</v>
      </c>
      <c r="D75" s="7" t="n">
        <v>37.5</v>
      </c>
      <c r="E75" s="7" t="n">
        <v>0</v>
      </c>
      <c r="F75" s="7" t="n">
        <v>0</v>
      </c>
      <c r="G75" s="7" t="n">
        <v>0</v>
      </c>
      <c r="H75" s="7" t="n">
        <v>37.5</v>
      </c>
    </row>
    <row r="76">
      <c r="A76" s="6" t="inlineStr">
        <is>
          <t>D RAMA</t>
        </is>
      </c>
      <c r="B76" s="6" t="inlineStr">
        <is>
          <t>PROD FRYING</t>
        </is>
      </c>
      <c r="C76" s="7" t="n">
        <v>708</v>
      </c>
      <c r="D76" s="7" t="n">
        <v>38</v>
      </c>
      <c r="E76" s="7" t="n">
        <v>0</v>
      </c>
      <c r="F76" s="7" t="n">
        <v>0</v>
      </c>
      <c r="G76" s="7" t="n">
        <v>0</v>
      </c>
      <c r="H76" s="7" t="n">
        <v>38</v>
      </c>
    </row>
    <row r="77">
      <c r="A77" s="6" t="inlineStr">
        <is>
          <t>S RAMJI</t>
        </is>
      </c>
      <c r="B77" s="6" t="inlineStr">
        <is>
          <t>PROD FRYING</t>
        </is>
      </c>
      <c r="C77" s="7" t="n">
        <v>742</v>
      </c>
      <c r="D77" s="7" t="n">
        <v>39</v>
      </c>
      <c r="E77" s="7" t="n">
        <v>0</v>
      </c>
      <c r="F77" s="7" t="n">
        <v>0</v>
      </c>
      <c r="G77" s="7" t="n">
        <v>0</v>
      </c>
      <c r="H77" s="7" t="n">
        <v>39</v>
      </c>
    </row>
    <row r="78">
      <c r="A78" s="6" t="inlineStr">
        <is>
          <t>S ADHIKARI KARKI</t>
        </is>
      </c>
      <c r="B78" s="6" t="inlineStr">
        <is>
          <t>PROD PREPARATION</t>
        </is>
      </c>
      <c r="C78" s="7" t="n">
        <v>736</v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</row>
    <row r="79">
      <c r="A79" s="6" t="inlineStr">
        <is>
          <t>P CANGI</t>
        </is>
      </c>
      <c r="B79" s="6" t="inlineStr">
        <is>
          <t>PROD PREPARATION</t>
        </is>
      </c>
      <c r="C79" s="7" t="n">
        <v>483</v>
      </c>
      <c r="D79" s="7" t="n">
        <v>32.5</v>
      </c>
      <c r="E79" s="7" t="n">
        <v>0</v>
      </c>
      <c r="F79" s="7" t="n">
        <v>0</v>
      </c>
      <c r="G79" s="7" t="n">
        <v>0</v>
      </c>
      <c r="H79" s="7" t="n">
        <v>32.5</v>
      </c>
    </row>
    <row r="80">
      <c r="A80" s="6" t="inlineStr">
        <is>
          <t>R FRANCISCO FERNANDES</t>
        </is>
      </c>
      <c r="B80" s="6" t="inlineStr">
        <is>
          <t>PROD PREPARATION</t>
        </is>
      </c>
      <c r="C80" s="7" t="n">
        <v>613</v>
      </c>
      <c r="D80" s="7" t="n">
        <v>0</v>
      </c>
      <c r="E80" s="7" t="n">
        <v>0</v>
      </c>
      <c r="F80" s="7" t="n">
        <v>0</v>
      </c>
      <c r="G80" s="7" t="n">
        <v>0</v>
      </c>
      <c r="H80" s="7" t="n">
        <v>0</v>
      </c>
    </row>
    <row r="81">
      <c r="A81" s="6" t="inlineStr">
        <is>
          <t>Y JAGDISH</t>
        </is>
      </c>
      <c r="B81" s="6" t="inlineStr">
        <is>
          <t>PROD PREPARATION</t>
        </is>
      </c>
      <c r="C81" s="7" t="n">
        <v>745</v>
      </c>
      <c r="D81" s="7" t="n">
        <v>41.25</v>
      </c>
      <c r="E81" s="7" t="n">
        <v>11.5</v>
      </c>
      <c r="F81" s="7" t="n">
        <v>0</v>
      </c>
      <c r="G81" s="7" t="n">
        <v>0</v>
      </c>
      <c r="H81" s="7" t="n">
        <v>52.75</v>
      </c>
    </row>
    <row r="82">
      <c r="A82" s="6" t="inlineStr">
        <is>
          <t>C JOAO DA SILVA</t>
        </is>
      </c>
      <c r="B82" s="6" t="inlineStr">
        <is>
          <t>PROD PREPARATION</t>
        </is>
      </c>
      <c r="C82" s="7" t="n">
        <v>627</v>
      </c>
      <c r="D82" s="7" t="n">
        <v>41.25</v>
      </c>
      <c r="E82" s="7" t="n">
        <v>6.25</v>
      </c>
      <c r="F82" s="7" t="n">
        <v>0</v>
      </c>
      <c r="G82" s="7" t="n">
        <v>0</v>
      </c>
      <c r="H82" s="7" t="n">
        <v>47.5</v>
      </c>
    </row>
    <row r="83">
      <c r="A83" s="6" t="inlineStr">
        <is>
          <t>E KACZMAREK</t>
        </is>
      </c>
      <c r="B83" s="6" t="inlineStr">
        <is>
          <t>PROD PREPARATION</t>
        </is>
      </c>
      <c r="C83" s="7" t="n">
        <v>263</v>
      </c>
      <c r="D83" s="7" t="n">
        <v>30.75</v>
      </c>
      <c r="E83" s="7" t="n">
        <v>0</v>
      </c>
      <c r="F83" s="7" t="n">
        <v>0</v>
      </c>
      <c r="G83" s="7" t="n">
        <v>8</v>
      </c>
      <c r="H83" s="7" t="n">
        <v>38.75</v>
      </c>
    </row>
    <row r="84">
      <c r="A84" s="6" t="inlineStr">
        <is>
          <t>F MINGUEL</t>
        </is>
      </c>
      <c r="B84" s="6" t="inlineStr">
        <is>
          <t>PROD PREPARATION</t>
        </is>
      </c>
      <c r="C84" s="7" t="n">
        <v>485</v>
      </c>
      <c r="D84" s="7" t="n">
        <v>37.5</v>
      </c>
      <c r="E84" s="7" t="n">
        <v>0</v>
      </c>
      <c r="F84" s="7" t="n">
        <v>0</v>
      </c>
      <c r="G84" s="7" t="n">
        <v>0</v>
      </c>
      <c r="H84" s="7" t="n">
        <v>37.5</v>
      </c>
    </row>
    <row r="85">
      <c r="A85" s="6" t="inlineStr">
        <is>
          <t>L PEREIRA</t>
        </is>
      </c>
      <c r="B85" s="6" t="inlineStr">
        <is>
          <t>PROD PREPARATION</t>
        </is>
      </c>
      <c r="C85" s="7" t="n">
        <v>583</v>
      </c>
      <c r="D85" s="7" t="n">
        <v>41.25</v>
      </c>
      <c r="E85" s="7" t="n">
        <v>8.75</v>
      </c>
      <c r="F85" s="7" t="n">
        <v>0</v>
      </c>
      <c r="G85" s="7" t="n">
        <v>0</v>
      </c>
      <c r="H85" s="7" t="n">
        <v>50</v>
      </c>
    </row>
    <row r="86">
      <c r="A86" s="6" t="inlineStr">
        <is>
          <t>A SILVA</t>
        </is>
      </c>
      <c r="B86" s="6" t="inlineStr">
        <is>
          <t>PROD PREPARATION</t>
        </is>
      </c>
      <c r="C86" s="7" t="n">
        <v>546</v>
      </c>
      <c r="D86" s="7" t="n">
        <v>41.25</v>
      </c>
      <c r="E86" s="7" t="n">
        <v>13.75</v>
      </c>
      <c r="F86" s="7" t="n">
        <v>0</v>
      </c>
      <c r="G86" s="7" t="n">
        <v>0</v>
      </c>
      <c r="H86" s="7" t="n">
        <v>55</v>
      </c>
    </row>
    <row r="87">
      <c r="A87" s="6" t="inlineStr">
        <is>
          <t>G SINGH</t>
        </is>
      </c>
      <c r="B87" s="6" t="inlineStr">
        <is>
          <t>PROD PREPARATION</t>
        </is>
      </c>
      <c r="C87" s="7" t="n">
        <v>675</v>
      </c>
      <c r="D87" s="7" t="n">
        <v>41.25</v>
      </c>
      <c r="E87" s="7" t="n">
        <v>0.25</v>
      </c>
      <c r="F87" s="7" t="n">
        <v>0</v>
      </c>
      <c r="G87" s="7" t="n">
        <v>0</v>
      </c>
      <c r="H87" s="7" t="n">
        <v>41.5</v>
      </c>
    </row>
    <row r="88">
      <c r="A88" s="6" t="inlineStr">
        <is>
          <t>R VIRA</t>
        </is>
      </c>
      <c r="B88" s="6" t="inlineStr">
        <is>
          <t>PROD PREPARATION</t>
        </is>
      </c>
      <c r="C88" s="7" t="n">
        <v>728</v>
      </c>
      <c r="D88" s="7" t="n">
        <v>41.25</v>
      </c>
      <c r="E88" s="7" t="n">
        <v>11.5</v>
      </c>
      <c r="F88" s="7" t="n">
        <v>0</v>
      </c>
      <c r="G88" s="7" t="n">
        <v>0</v>
      </c>
      <c r="H88" s="7" t="n">
        <v>52.75</v>
      </c>
    </row>
    <row r="89">
      <c r="A89" s="6" t="inlineStr">
        <is>
          <t>M HIMANSHU</t>
        </is>
      </c>
      <c r="B89" s="6" t="inlineStr">
        <is>
          <t>PROD TABLE</t>
        </is>
      </c>
      <c r="C89" s="7" t="n">
        <v>702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</row>
    <row r="90">
      <c r="A90" s="6" t="inlineStr">
        <is>
          <t>B IRA</t>
        </is>
      </c>
      <c r="B90" s="6" t="inlineStr">
        <is>
          <t>PROD TABLE</t>
        </is>
      </c>
      <c r="C90" s="7" t="n">
        <v>703</v>
      </c>
      <c r="D90" s="7" t="n">
        <v>18</v>
      </c>
      <c r="E90" s="7" t="n">
        <v>0</v>
      </c>
      <c r="F90" s="7" t="n">
        <v>0</v>
      </c>
      <c r="G90" s="7" t="n">
        <v>8</v>
      </c>
      <c r="H90" s="7" t="n">
        <v>26</v>
      </c>
    </row>
    <row r="91">
      <c r="A91" s="6" t="inlineStr">
        <is>
          <t>S JIREL</t>
        </is>
      </c>
      <c r="B91" s="6" t="inlineStr">
        <is>
          <t>PROD TABLE</t>
        </is>
      </c>
      <c r="C91" s="7" t="n">
        <v>711</v>
      </c>
      <c r="D91" s="7" t="n">
        <v>30.75</v>
      </c>
      <c r="E91" s="7" t="n">
        <v>0</v>
      </c>
      <c r="F91" s="7" t="n">
        <v>0</v>
      </c>
      <c r="G91" s="7" t="n">
        <v>0</v>
      </c>
      <c r="H91" s="7" t="n">
        <v>30.75</v>
      </c>
    </row>
    <row r="92">
      <c r="A92" s="6" t="inlineStr">
        <is>
          <t>P LACMANE</t>
        </is>
      </c>
      <c r="B92" s="6" t="inlineStr">
        <is>
          <t>PROD TABLE</t>
        </is>
      </c>
      <c r="C92" s="7" t="n">
        <v>440</v>
      </c>
      <c r="D92" s="7" t="n">
        <v>31.75</v>
      </c>
      <c r="E92" s="7" t="n">
        <v>0</v>
      </c>
      <c r="F92" s="7" t="n">
        <v>0</v>
      </c>
      <c r="G92" s="7" t="n">
        <v>0</v>
      </c>
      <c r="H92" s="7" t="n">
        <v>31.75</v>
      </c>
    </row>
    <row r="93">
      <c r="A93" s="6" t="inlineStr">
        <is>
          <t>R RATNA</t>
        </is>
      </c>
      <c r="B93" s="6" t="inlineStr">
        <is>
          <t>PROD TABLE</t>
        </is>
      </c>
      <c r="C93" s="7" t="n">
        <v>615</v>
      </c>
      <c r="D93" s="7" t="n">
        <v>0</v>
      </c>
      <c r="E93" s="7" t="n">
        <v>0</v>
      </c>
      <c r="F93" s="7" t="n">
        <v>0</v>
      </c>
      <c r="G93" s="7" t="n">
        <v>32</v>
      </c>
      <c r="H93" s="7" t="n">
        <v>32</v>
      </c>
    </row>
    <row r="94">
      <c r="A94" s="6" t="inlineStr">
        <is>
          <t>L SHAVJI</t>
        </is>
      </c>
      <c r="B94" s="6" t="inlineStr">
        <is>
          <t>PROD TABLE</t>
        </is>
      </c>
      <c r="C94" s="7" t="n">
        <v>699</v>
      </c>
      <c r="D94" s="7" t="n">
        <v>34.25</v>
      </c>
      <c r="E94" s="7" t="n">
        <v>0</v>
      </c>
      <c r="F94" s="7" t="n">
        <v>0</v>
      </c>
      <c r="G94" s="7" t="n">
        <v>0</v>
      </c>
      <c r="H94" s="7" t="n">
        <v>34.25</v>
      </c>
    </row>
    <row r="95">
      <c r="A95" s="6" t="inlineStr">
        <is>
          <t>B TEJESKUMAR</t>
        </is>
      </c>
      <c r="B95" s="6" t="inlineStr">
        <is>
          <t>PROD TABLE</t>
        </is>
      </c>
      <c r="C95" s="7" t="n">
        <v>722</v>
      </c>
      <c r="D95" s="7" t="n">
        <v>24</v>
      </c>
      <c r="E95" s="7" t="n">
        <v>0</v>
      </c>
      <c r="F95" s="7" t="n">
        <v>0</v>
      </c>
      <c r="G95" s="7" t="n">
        <v>0</v>
      </c>
      <c r="H95" s="7" t="n">
        <v>24</v>
      </c>
    </row>
    <row r="96">
      <c r="A96" s="6" t="inlineStr">
        <is>
          <t>M VAHORA</t>
        </is>
      </c>
      <c r="B96" s="6" t="inlineStr">
        <is>
          <t>PROD TABLE</t>
        </is>
      </c>
      <c r="C96" s="7" t="n">
        <v>414</v>
      </c>
      <c r="D96" s="7" t="n">
        <v>34.25</v>
      </c>
      <c r="E96" s="7" t="n">
        <v>0</v>
      </c>
      <c r="F96" s="7" t="n">
        <v>0</v>
      </c>
      <c r="G96" s="7" t="n">
        <v>0</v>
      </c>
      <c r="H96" s="7" t="n">
        <v>34.25</v>
      </c>
    </row>
    <row r="97">
      <c r="A97" s="6" t="inlineStr">
        <is>
          <t>A ALI  SALLAM</t>
        </is>
      </c>
      <c r="B97" s="6" t="inlineStr">
        <is>
          <t>TECH TECHNICAL</t>
        </is>
      </c>
      <c r="C97" s="7" t="n">
        <v>523</v>
      </c>
      <c r="D97" s="7" t="n">
        <v>39.5</v>
      </c>
      <c r="E97" s="7" t="n">
        <v>0</v>
      </c>
      <c r="F97" s="7" t="n">
        <v>0</v>
      </c>
      <c r="G97" s="7" t="n">
        <v>0</v>
      </c>
      <c r="H97" s="7" t="n">
        <v>39.5</v>
      </c>
    </row>
    <row r="98">
      <c r="A98" s="6" t="inlineStr">
        <is>
          <t>P KAUR</t>
        </is>
      </c>
      <c r="B98" s="6" t="inlineStr">
        <is>
          <t>TECH TECHNICAL</t>
        </is>
      </c>
      <c r="C98" s="7" t="n">
        <v>417</v>
      </c>
      <c r="D98" s="7" t="n">
        <v>41.25</v>
      </c>
      <c r="E98" s="7" t="n">
        <v>4.25</v>
      </c>
      <c r="F98" s="7" t="n">
        <v>0</v>
      </c>
      <c r="G98" s="7" t="n">
        <v>0</v>
      </c>
      <c r="H98" s="7" t="n">
        <v>45.5</v>
      </c>
    </row>
    <row r="99">
      <c r="A99" s="6" t="inlineStr">
        <is>
          <t>J PATEL</t>
        </is>
      </c>
      <c r="B99" s="6" t="inlineStr">
        <is>
          <t>TECH TECHNICAL</t>
        </is>
      </c>
      <c r="C99" s="7" t="n">
        <v>678</v>
      </c>
      <c r="D99" s="7" t="n">
        <v>41.25</v>
      </c>
      <c r="E99" s="7" t="n">
        <v>0.25</v>
      </c>
      <c r="F99" s="7" t="n">
        <v>0</v>
      </c>
      <c r="G99" s="7" t="n">
        <v>0</v>
      </c>
      <c r="H99" s="7" t="n">
        <v>41.5</v>
      </c>
    </row>
    <row r="100">
      <c r="A100" s="6" t="inlineStr">
        <is>
          <t>H R DOMADIYA</t>
        </is>
      </c>
      <c r="B100" s="6" t="inlineStr">
        <is>
          <t>TECH TECHNICAL</t>
        </is>
      </c>
      <c r="C100" s="7" t="n">
        <v>682</v>
      </c>
      <c r="D100" s="7" t="n">
        <v>41.25</v>
      </c>
      <c r="E100" s="7" t="n">
        <v>12.5</v>
      </c>
      <c r="F100" s="7" t="n">
        <v>0</v>
      </c>
      <c r="G100" s="7" t="n">
        <v>0</v>
      </c>
      <c r="H100" s="7" t="n">
        <v>53.75</v>
      </c>
    </row>
    <row r="101">
      <c r="A101" s="6" t="inlineStr">
        <is>
          <t>M SHAH</t>
        </is>
      </c>
      <c r="B101" s="6" t="inlineStr">
        <is>
          <t>TECH TECHNICAL</t>
        </is>
      </c>
      <c r="C101" s="7" t="n">
        <v>308</v>
      </c>
      <c r="D101" s="7" t="n">
        <v>30.25</v>
      </c>
      <c r="E101" s="7" t="n">
        <v>0</v>
      </c>
      <c r="F101" s="7" t="n">
        <v>0</v>
      </c>
      <c r="G101" s="7" t="n">
        <v>0</v>
      </c>
      <c r="H101" s="7" t="n">
        <v>30.25</v>
      </c>
    </row>
    <row r="102">
      <c r="A102" s="6" t="inlineStr">
        <is>
          <t>A AMIT</t>
        </is>
      </c>
      <c r="B102" s="6" t="inlineStr">
        <is>
          <t>WRHS</t>
        </is>
      </c>
      <c r="C102" s="7" t="n">
        <v>674</v>
      </c>
      <c r="D102" s="7" t="n">
        <v>41.25</v>
      </c>
      <c r="E102" s="7" t="n">
        <v>8.5</v>
      </c>
      <c r="F102" s="7" t="n">
        <v>0</v>
      </c>
      <c r="G102" s="7" t="n">
        <v>0</v>
      </c>
      <c r="H102" s="7" t="n">
        <v>49.75</v>
      </c>
    </row>
    <row r="103">
      <c r="A103" s="6" t="inlineStr">
        <is>
          <t>W GRZEGORZ KOPACZ</t>
        </is>
      </c>
      <c r="B103" s="6" t="inlineStr">
        <is>
          <t>WRHS</t>
        </is>
      </c>
      <c r="C103" s="7" t="n">
        <v>592</v>
      </c>
      <c r="D103" s="7" t="n">
        <v>30</v>
      </c>
      <c r="E103" s="7" t="n">
        <v>0</v>
      </c>
      <c r="F103" s="7" t="n">
        <v>0</v>
      </c>
      <c r="G103" s="7" t="n">
        <v>8</v>
      </c>
      <c r="H103" s="7" t="n">
        <v>38</v>
      </c>
    </row>
    <row r="104">
      <c r="A104" s="6" t="inlineStr">
        <is>
          <t>A SAHOTA</t>
        </is>
      </c>
      <c r="B104" s="6" t="inlineStr">
        <is>
          <t>WRHS</t>
        </is>
      </c>
      <c r="C104" s="7" t="n">
        <v>680</v>
      </c>
      <c r="D104" s="7" t="n">
        <v>37.75</v>
      </c>
      <c r="E104" s="7" t="n">
        <v>7.25</v>
      </c>
      <c r="F104" s="7" t="n">
        <v>0</v>
      </c>
      <c r="G104" s="7" t="n">
        <v>0</v>
      </c>
      <c r="H104" s="7" t="n">
        <v>45</v>
      </c>
    </row>
    <row r="105">
      <c r="A105" s="6" t="inlineStr">
        <is>
          <t>S SUBRAMANI</t>
        </is>
      </c>
      <c r="B105" s="6" t="inlineStr">
        <is>
          <t>WRHS</t>
        </is>
      </c>
      <c r="C105" s="7" t="n">
        <v>205</v>
      </c>
      <c r="D105" s="7" t="n">
        <v>30.75</v>
      </c>
      <c r="E105" s="7" t="n">
        <v>0</v>
      </c>
      <c r="F105" s="7" t="n">
        <v>8.25</v>
      </c>
      <c r="G105" s="7" t="n">
        <v>0</v>
      </c>
      <c r="H105" s="7" t="n">
        <v>39</v>
      </c>
    </row>
    <row r="106">
      <c r="A106" s="6" t="inlineStr">
        <is>
          <t>R BABU EOLL</t>
        </is>
      </c>
      <c r="B106" s="6" t="inlineStr">
        <is>
          <t>A-EL CLNR</t>
        </is>
      </c>
      <c r="C106" s="7" t="n">
        <v>0</v>
      </c>
      <c r="D106" s="7" t="n">
        <v>38</v>
      </c>
      <c r="E106" s="7" t="n">
        <v>0</v>
      </c>
      <c r="F106" s="7" t="n">
        <v>0</v>
      </c>
      <c r="G106" s="7" t="n">
        <v>0</v>
      </c>
      <c r="H106" s="7" t="n">
        <v>38</v>
      </c>
    </row>
    <row r="107">
      <c r="A107" s="6" t="inlineStr">
        <is>
          <t>D BAMANIA EOLL</t>
        </is>
      </c>
      <c r="B107" s="6" t="inlineStr">
        <is>
          <t>A-EL CLNR</t>
        </is>
      </c>
      <c r="C107" s="7" t="n">
        <v>0</v>
      </c>
      <c r="D107" s="7" t="n">
        <v>40</v>
      </c>
      <c r="E107" s="7" t="n">
        <v>5.75</v>
      </c>
      <c r="F107" s="7" t="n">
        <v>0</v>
      </c>
      <c r="G107" s="7" t="n">
        <v>0</v>
      </c>
      <c r="H107" s="7" t="n">
        <v>45.75</v>
      </c>
    </row>
    <row r="108">
      <c r="A108" s="6" t="inlineStr">
        <is>
          <t>S CHAGANA EOLL</t>
        </is>
      </c>
      <c r="B108" s="6" t="inlineStr">
        <is>
          <t>A-EL CLNR</t>
        </is>
      </c>
      <c r="C108" s="7" t="n">
        <v>0</v>
      </c>
      <c r="D108" s="7" t="n">
        <v>39</v>
      </c>
      <c r="E108" s="7" t="n">
        <v>0</v>
      </c>
      <c r="F108" s="7" t="n">
        <v>0</v>
      </c>
      <c r="G108" s="7" t="n">
        <v>0</v>
      </c>
      <c r="H108" s="7" t="n">
        <v>39</v>
      </c>
    </row>
    <row r="109">
      <c r="A109" s="6" t="inlineStr">
        <is>
          <t>K NATVAR EOLL</t>
        </is>
      </c>
      <c r="B109" s="6" t="inlineStr">
        <is>
          <t>A-EL CLNR</t>
        </is>
      </c>
      <c r="C109" s="7" t="n">
        <v>0</v>
      </c>
      <c r="D109" s="7" t="n">
        <v>40</v>
      </c>
      <c r="E109" s="7" t="n">
        <v>0</v>
      </c>
      <c r="F109" s="7" t="n">
        <v>0</v>
      </c>
      <c r="G109" s="7" t="n">
        <v>0</v>
      </c>
      <c r="H109" s="7" t="n">
        <v>40</v>
      </c>
    </row>
    <row r="110">
      <c r="A110" s="6" t="inlineStr">
        <is>
          <t>L SOMA EOLL</t>
        </is>
      </c>
      <c r="B110" s="6" t="inlineStr">
        <is>
          <t>A-EL CLNR</t>
        </is>
      </c>
      <c r="C110" s="7" t="n">
        <v>0</v>
      </c>
      <c r="D110" s="7" t="n">
        <v>31.5</v>
      </c>
      <c r="E110" s="7" t="n">
        <v>0</v>
      </c>
      <c r="F110" s="7" t="n">
        <v>0</v>
      </c>
      <c r="G110" s="7" t="n">
        <v>0</v>
      </c>
      <c r="H110" s="7" t="n">
        <v>31.5</v>
      </c>
    </row>
    <row r="111">
      <c r="A111" s="6" t="inlineStr">
        <is>
          <t>D VIRA EOLL</t>
        </is>
      </c>
      <c r="B111" s="6" t="inlineStr">
        <is>
          <t>A-EL CLNR</t>
        </is>
      </c>
      <c r="C111" s="7" t="n">
        <v>0</v>
      </c>
      <c r="D111" s="7" t="n">
        <v>38</v>
      </c>
      <c r="E111" s="7" t="n">
        <v>0</v>
      </c>
      <c r="F111" s="7" t="n">
        <v>0</v>
      </c>
      <c r="G111" s="7" t="n">
        <v>0</v>
      </c>
      <c r="H111" s="7" t="n">
        <v>38</v>
      </c>
    </row>
    <row r="112">
      <c r="A112" s="6" t="inlineStr">
        <is>
          <t>A VIRA EOLL</t>
        </is>
      </c>
      <c r="B112" s="6" t="inlineStr">
        <is>
          <t>A-EL DPCH</t>
        </is>
      </c>
      <c r="C112" s="7" t="n">
        <v>0</v>
      </c>
      <c r="D112" s="7" t="n">
        <v>30.75</v>
      </c>
      <c r="E112" s="7" t="n">
        <v>7.5</v>
      </c>
      <c r="F112" s="7" t="n">
        <v>0</v>
      </c>
      <c r="G112" s="7" t="n">
        <v>0</v>
      </c>
      <c r="H112" s="7" t="n">
        <v>38.25</v>
      </c>
    </row>
    <row r="113">
      <c r="A113" s="6" t="inlineStr">
        <is>
          <t>K BHALALA EOLL</t>
        </is>
      </c>
      <c r="B113" s="6" t="inlineStr">
        <is>
          <t>A-EL PKNG HIGH_RISK</t>
        </is>
      </c>
      <c r="C113" s="7" t="n">
        <v>0</v>
      </c>
      <c r="D113" s="7" t="n">
        <v>0</v>
      </c>
      <c r="E113" s="7" t="n">
        <v>0</v>
      </c>
      <c r="F113" s="7" t="n">
        <v>0</v>
      </c>
      <c r="G113" s="7" t="n">
        <v>0</v>
      </c>
      <c r="H113" s="7" t="n">
        <v>0</v>
      </c>
    </row>
    <row r="114">
      <c r="A114" s="6" t="inlineStr">
        <is>
          <t>S BIPINBHAI DOBARIYA EOLL</t>
        </is>
      </c>
      <c r="B114" s="6" t="inlineStr">
        <is>
          <t>A-EL PKNG HIGH_RISK</t>
        </is>
      </c>
      <c r="C114" s="7" t="n">
        <v>0</v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0</v>
      </c>
    </row>
    <row r="115">
      <c r="A115" s="6" t="inlineStr">
        <is>
          <t>H CHAGAN EOLL</t>
        </is>
      </c>
      <c r="B115" s="6" t="inlineStr">
        <is>
          <t>A-EL PKNG HIGH_RISK</t>
        </is>
      </c>
      <c r="C115" s="7" t="n">
        <v>0</v>
      </c>
      <c r="D115" s="7" t="n">
        <v>0</v>
      </c>
      <c r="E115" s="7" t="n">
        <v>0</v>
      </c>
      <c r="F115" s="7" t="n">
        <v>0</v>
      </c>
      <c r="G115" s="7" t="n">
        <v>0</v>
      </c>
      <c r="H115" s="7" t="n">
        <v>0</v>
      </c>
    </row>
    <row r="116">
      <c r="A116" s="6" t="inlineStr">
        <is>
          <t>A CHOTALA EOLL</t>
        </is>
      </c>
      <c r="B116" s="6" t="inlineStr">
        <is>
          <t>A-EL PKNG HIGH_RISK</t>
        </is>
      </c>
      <c r="C116" s="7" t="n">
        <v>0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</row>
    <row r="117">
      <c r="A117" s="6" t="inlineStr">
        <is>
          <t>M CORREIA EOLL</t>
        </is>
      </c>
      <c r="B117" s="6" t="inlineStr">
        <is>
          <t>A-EL PKNG HIGH_RISK</t>
        </is>
      </c>
      <c r="C117" s="7" t="n">
        <v>0</v>
      </c>
      <c r="D117" s="7" t="n">
        <v>40.25</v>
      </c>
      <c r="E117" s="7" t="n">
        <v>0</v>
      </c>
      <c r="F117" s="7" t="n">
        <v>0</v>
      </c>
      <c r="G117" s="7" t="n">
        <v>0</v>
      </c>
      <c r="H117" s="7" t="n">
        <v>40.25</v>
      </c>
    </row>
    <row r="118">
      <c r="A118" s="6" t="inlineStr">
        <is>
          <t>R DEVJI BAMANIA EOLL</t>
        </is>
      </c>
      <c r="B118" s="6" t="inlineStr">
        <is>
          <t>A-EL PKNG HIGH_RISK</t>
        </is>
      </c>
      <c r="C118" s="7" t="n">
        <v>0</v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</row>
    <row r="119">
      <c r="A119" s="6" t="inlineStr">
        <is>
          <t>P DONGA EOLL</t>
        </is>
      </c>
      <c r="B119" s="6" t="inlineStr">
        <is>
          <t>A-EL PKNG HIGH_RISK</t>
        </is>
      </c>
      <c r="C119" s="7" t="n">
        <v>0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</row>
    <row r="120">
      <c r="A120" s="6" t="inlineStr">
        <is>
          <t>M GOVIND EOLL</t>
        </is>
      </c>
      <c r="B120" s="6" t="inlineStr">
        <is>
          <t>A-EL PKNG HIGH_RISK</t>
        </is>
      </c>
      <c r="C120" s="7" t="n">
        <v>0</v>
      </c>
      <c r="D120" s="7" t="n">
        <v>38</v>
      </c>
      <c r="E120" s="7" t="n">
        <v>0</v>
      </c>
      <c r="F120" s="7" t="n">
        <v>0</v>
      </c>
      <c r="G120" s="7" t="n">
        <v>0</v>
      </c>
      <c r="H120" s="7" t="n">
        <v>38</v>
      </c>
    </row>
    <row r="121">
      <c r="A121" s="6" t="inlineStr">
        <is>
          <t>G GUNABHAI DEVANI EOLL</t>
        </is>
      </c>
      <c r="B121" s="6" t="inlineStr">
        <is>
          <t>A-EL PKNG HIGH_RISK</t>
        </is>
      </c>
      <c r="C121" s="7" t="n">
        <v>0</v>
      </c>
      <c r="D121" s="7" t="n">
        <v>30.5</v>
      </c>
      <c r="E121" s="7" t="n">
        <v>0</v>
      </c>
      <c r="F121" s="7" t="n">
        <v>0</v>
      </c>
      <c r="G121" s="7" t="n">
        <v>0</v>
      </c>
      <c r="H121" s="7" t="n">
        <v>30.5</v>
      </c>
    </row>
    <row r="122">
      <c r="A122" s="6" t="inlineStr">
        <is>
          <t>K HASMUKHBHAI CHATALIYA EOLL</t>
        </is>
      </c>
      <c r="B122" s="6" t="inlineStr">
        <is>
          <t>A-EL PKNG HIGH_RISK</t>
        </is>
      </c>
      <c r="C122" s="7" t="n">
        <v>0</v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</row>
    <row r="123">
      <c r="A123" s="6" t="inlineStr">
        <is>
          <t>S JASOHIYA EOLL</t>
        </is>
      </c>
      <c r="B123" s="6" t="inlineStr">
        <is>
          <t>A-EL PKNG HIGH_RISK</t>
        </is>
      </c>
      <c r="C123" s="7" t="n">
        <v>0</v>
      </c>
      <c r="D123" s="7" t="n">
        <v>0</v>
      </c>
      <c r="E123" s="7" t="n">
        <v>0</v>
      </c>
      <c r="F123" s="7" t="n">
        <v>0</v>
      </c>
      <c r="G123" s="7" t="n">
        <v>0</v>
      </c>
      <c r="H123" s="7" t="n">
        <v>0</v>
      </c>
    </row>
    <row r="124">
      <c r="A124" s="6" t="inlineStr">
        <is>
          <t>H KHUNT EOLL</t>
        </is>
      </c>
      <c r="B124" s="6" t="inlineStr">
        <is>
          <t>A-EL PKNG HIGH_RISK</t>
        </is>
      </c>
      <c r="C124" s="7" t="n">
        <v>0</v>
      </c>
      <c r="D124" s="7" t="n">
        <v>30.25</v>
      </c>
      <c r="E124" s="7" t="n">
        <v>7.5</v>
      </c>
      <c r="F124" s="7" t="n">
        <v>0</v>
      </c>
      <c r="G124" s="7" t="n">
        <v>0</v>
      </c>
      <c r="H124" s="7" t="n">
        <v>37.75</v>
      </c>
    </row>
    <row r="125">
      <c r="A125" s="6" t="inlineStr">
        <is>
          <t>K KIRAN PATEL EOLL</t>
        </is>
      </c>
      <c r="B125" s="6" t="inlineStr">
        <is>
          <t>A-EL PKNG HIGH_RISK</t>
        </is>
      </c>
      <c r="C125" s="7" t="n">
        <v>0</v>
      </c>
      <c r="D125" s="7" t="n">
        <v>20</v>
      </c>
      <c r="E125" s="7" t="n">
        <v>0</v>
      </c>
      <c r="F125" s="7" t="n">
        <v>0</v>
      </c>
      <c r="G125" s="7" t="n">
        <v>0</v>
      </c>
      <c r="H125" s="7" t="n">
        <v>20</v>
      </c>
    </row>
    <row r="126">
      <c r="A126" s="6" t="inlineStr">
        <is>
          <t>A KUMARI YADAV EOLL</t>
        </is>
      </c>
      <c r="B126" s="6" t="inlineStr">
        <is>
          <t>A-EL PKNG HIGH_RISK</t>
        </is>
      </c>
      <c r="C126" s="7" t="n">
        <v>0</v>
      </c>
      <c r="D126" s="7" t="n">
        <v>29.5</v>
      </c>
      <c r="E126" s="7" t="n">
        <v>0</v>
      </c>
      <c r="F126" s="7" t="n">
        <v>0</v>
      </c>
      <c r="G126" s="7" t="n">
        <v>0</v>
      </c>
      <c r="H126" s="7" t="n">
        <v>29.5</v>
      </c>
    </row>
    <row r="127">
      <c r="A127" s="6" t="inlineStr">
        <is>
          <t>A KUNJADIYA EOLL</t>
        </is>
      </c>
      <c r="B127" s="6" t="inlineStr">
        <is>
          <t>A-EL PKNG HIGH_RISK</t>
        </is>
      </c>
      <c r="C127" s="7" t="n">
        <v>0</v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</row>
    <row r="128">
      <c r="A128" s="6" t="inlineStr">
        <is>
          <t>J MAYENKAR EOLL</t>
        </is>
      </c>
      <c r="B128" s="6" t="inlineStr">
        <is>
          <t>A-EL PKNG HIGH_RISK</t>
        </is>
      </c>
      <c r="C128" s="7" t="n">
        <v>0</v>
      </c>
      <c r="D128" s="7" t="n">
        <v>0</v>
      </c>
      <c r="E128" s="7" t="n">
        <v>0</v>
      </c>
      <c r="F128" s="7" t="n">
        <v>0</v>
      </c>
      <c r="G128" s="7" t="n">
        <v>0</v>
      </c>
      <c r="H128" s="7" t="n">
        <v>0</v>
      </c>
    </row>
    <row r="129">
      <c r="A129" s="6" t="inlineStr">
        <is>
          <t>J MENDAPARA EOLL</t>
        </is>
      </c>
      <c r="B129" s="6" t="inlineStr">
        <is>
          <t>A-EL PKNG HIGH_RISK</t>
        </is>
      </c>
      <c r="C129" s="7" t="n">
        <v>0</v>
      </c>
      <c r="D129" s="7" t="n">
        <v>37.25</v>
      </c>
      <c r="E129" s="7" t="n">
        <v>0</v>
      </c>
      <c r="F129" s="7" t="n">
        <v>0</v>
      </c>
      <c r="G129" s="7" t="n">
        <v>0</v>
      </c>
      <c r="H129" s="7" t="n">
        <v>37.25</v>
      </c>
    </row>
    <row r="130">
      <c r="A130" s="6" t="inlineStr">
        <is>
          <t>S MOTISARIYA EOLL</t>
        </is>
      </c>
      <c r="B130" s="6" t="inlineStr">
        <is>
          <t>A-EL PKNG HIGH_RISK</t>
        </is>
      </c>
      <c r="C130" s="7" t="n">
        <v>0</v>
      </c>
      <c r="D130" s="7" t="n">
        <v>23</v>
      </c>
      <c r="E130" s="7" t="n">
        <v>0</v>
      </c>
      <c r="F130" s="7" t="n">
        <v>0</v>
      </c>
      <c r="G130" s="7" t="n">
        <v>0</v>
      </c>
      <c r="H130" s="7" t="n">
        <v>23</v>
      </c>
    </row>
    <row r="131">
      <c r="A131" s="6" t="inlineStr">
        <is>
          <t>R NANJI EOLL</t>
        </is>
      </c>
      <c r="B131" s="6" t="inlineStr">
        <is>
          <t>A-EL PKNG HIGH_RISK</t>
        </is>
      </c>
      <c r="C131" s="7" t="n">
        <v>0</v>
      </c>
      <c r="D131" s="7" t="n">
        <v>25.25</v>
      </c>
      <c r="E131" s="7" t="n">
        <v>0</v>
      </c>
      <c r="F131" s="7" t="n">
        <v>0</v>
      </c>
      <c r="G131" s="7" t="n">
        <v>0</v>
      </c>
      <c r="H131" s="7" t="n">
        <v>25.25</v>
      </c>
    </row>
    <row r="132">
      <c r="A132" s="6" t="inlineStr">
        <is>
          <t>M PARTH MESHIYA EOLL</t>
        </is>
      </c>
      <c r="B132" s="6" t="inlineStr">
        <is>
          <t>A-EL PKNG HIGH_RISK</t>
        </is>
      </c>
      <c r="C132" s="7" t="n">
        <v>0</v>
      </c>
      <c r="D132" s="7" t="n">
        <v>13</v>
      </c>
      <c r="E132" s="7" t="n">
        <v>0</v>
      </c>
      <c r="F132" s="7" t="n">
        <v>0</v>
      </c>
      <c r="G132" s="7" t="n">
        <v>0</v>
      </c>
      <c r="H132" s="7" t="n">
        <v>13</v>
      </c>
    </row>
    <row r="133">
      <c r="A133" s="6" t="inlineStr">
        <is>
          <t>A PATEL EOLL</t>
        </is>
      </c>
      <c r="B133" s="6" t="inlineStr">
        <is>
          <t>A-EL PKNG HIGH_RISK</t>
        </is>
      </c>
      <c r="C133" s="7" t="n">
        <v>0</v>
      </c>
      <c r="D133" s="7" t="n">
        <v>0</v>
      </c>
      <c r="E133" s="7" t="n">
        <v>0</v>
      </c>
      <c r="F133" s="7" t="n">
        <v>0</v>
      </c>
      <c r="G133" s="7" t="n">
        <v>0</v>
      </c>
      <c r="H133" s="7" t="n">
        <v>0</v>
      </c>
    </row>
    <row r="134">
      <c r="A134" s="6" t="inlineStr">
        <is>
          <t>N PATEL EOLL</t>
        </is>
      </c>
      <c r="B134" s="6" t="inlineStr">
        <is>
          <t>A-EL PKNG HIGH_RISK</t>
        </is>
      </c>
      <c r="C134" s="7" t="n">
        <v>0</v>
      </c>
      <c r="D134" s="7" t="n">
        <v>0</v>
      </c>
      <c r="E134" s="7" t="n">
        <v>0</v>
      </c>
      <c r="F134" s="7" t="n">
        <v>0</v>
      </c>
      <c r="G134" s="7" t="n">
        <v>0</v>
      </c>
      <c r="H134" s="7" t="n">
        <v>0</v>
      </c>
    </row>
    <row r="135">
      <c r="A135" s="6" t="inlineStr">
        <is>
          <t>P PATEL EOLL</t>
        </is>
      </c>
      <c r="B135" s="6" t="inlineStr">
        <is>
          <t>A-EL PKNG HIGH_RISK</t>
        </is>
      </c>
      <c r="C135" s="7" t="n">
        <v>0</v>
      </c>
      <c r="D135" s="7" t="n">
        <v>7.5</v>
      </c>
      <c r="E135" s="7" t="n">
        <v>0</v>
      </c>
      <c r="F135" s="7" t="n">
        <v>0</v>
      </c>
      <c r="G135" s="7" t="n">
        <v>0</v>
      </c>
      <c r="H135" s="7" t="n">
        <v>7.5</v>
      </c>
    </row>
    <row r="136">
      <c r="A136" s="6" t="inlineStr">
        <is>
          <t>S PATEL EOLL</t>
        </is>
      </c>
      <c r="B136" s="6" t="inlineStr">
        <is>
          <t>A-EL PKNG HIGH_RISK</t>
        </is>
      </c>
      <c r="C136" s="7" t="n">
        <v>0</v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</v>
      </c>
    </row>
    <row r="137">
      <c r="A137" s="6" t="inlineStr">
        <is>
          <t>V PATEL EOLL</t>
        </is>
      </c>
      <c r="B137" s="6" t="inlineStr">
        <is>
          <t>A-EL PKNG HIGH_RISK</t>
        </is>
      </c>
      <c r="C137" s="7" t="n">
        <v>0</v>
      </c>
      <c r="D137" s="7" t="n">
        <v>38</v>
      </c>
      <c r="E137" s="7" t="n">
        <v>0</v>
      </c>
      <c r="F137" s="7" t="n">
        <v>0</v>
      </c>
      <c r="G137" s="7" t="n">
        <v>0</v>
      </c>
      <c r="H137" s="7" t="n">
        <v>38</v>
      </c>
    </row>
    <row r="138">
      <c r="A138" s="6" t="inlineStr">
        <is>
          <t>J RAMESH EOLL</t>
        </is>
      </c>
      <c r="B138" s="6" t="inlineStr">
        <is>
          <t>A-EL PKNG HIGH_RISK</t>
        </is>
      </c>
      <c r="C138" s="7" t="n">
        <v>0</v>
      </c>
      <c r="D138" s="7" t="n">
        <v>17.25</v>
      </c>
      <c r="E138" s="7" t="n">
        <v>7.5</v>
      </c>
      <c r="F138" s="7" t="n">
        <v>0</v>
      </c>
      <c r="G138" s="7" t="n">
        <v>0</v>
      </c>
      <c r="H138" s="7" t="n">
        <v>24.75</v>
      </c>
    </row>
    <row r="139">
      <c r="A139" s="6" t="inlineStr">
        <is>
          <t>P RAMJI EOLL</t>
        </is>
      </c>
      <c r="B139" s="6" t="inlineStr">
        <is>
          <t>A-EL PKNG HIGH_RISK</t>
        </is>
      </c>
      <c r="C139" s="7" t="n">
        <v>0</v>
      </c>
      <c r="D139" s="7" t="n">
        <v>23.75</v>
      </c>
      <c r="E139" s="7" t="n">
        <v>0</v>
      </c>
      <c r="F139" s="7" t="n">
        <v>0</v>
      </c>
      <c r="G139" s="7" t="n">
        <v>0</v>
      </c>
      <c r="H139" s="7" t="n">
        <v>23.75</v>
      </c>
    </row>
    <row r="140">
      <c r="A140" s="6" t="inlineStr">
        <is>
          <t>P SATISH EOLL</t>
        </is>
      </c>
      <c r="B140" s="6" t="inlineStr">
        <is>
          <t>A-EL PKNG HIGH_RISK</t>
        </is>
      </c>
      <c r="C140" s="7" t="n">
        <v>0</v>
      </c>
      <c r="D140" s="7" t="n">
        <v>40.25</v>
      </c>
      <c r="E140" s="7" t="n">
        <v>0</v>
      </c>
      <c r="F140" s="7" t="n">
        <v>0</v>
      </c>
      <c r="G140" s="7" t="n">
        <v>0</v>
      </c>
      <c r="H140" s="7" t="n">
        <v>40.25</v>
      </c>
    </row>
    <row r="141">
      <c r="A141" s="6" t="inlineStr">
        <is>
          <t>J SAVSARIYA EOLL</t>
        </is>
      </c>
      <c r="B141" s="6" t="inlineStr">
        <is>
          <t>A-EL PKNG HIGH_RISK</t>
        </is>
      </c>
      <c r="C141" s="7" t="n">
        <v>0</v>
      </c>
      <c r="D141" s="7" t="n">
        <v>0</v>
      </c>
      <c r="E141" s="7" t="n">
        <v>0</v>
      </c>
      <c r="F141" s="7" t="n">
        <v>0</v>
      </c>
      <c r="G141" s="7" t="n">
        <v>0</v>
      </c>
      <c r="H141" s="7" t="n">
        <v>0</v>
      </c>
    </row>
    <row r="142">
      <c r="A142" s="6" t="inlineStr">
        <is>
          <t>R VAGHANI EOLL</t>
        </is>
      </c>
      <c r="B142" s="6" t="inlineStr">
        <is>
          <t>A-EL PKNG HIGH_RISK</t>
        </is>
      </c>
      <c r="C142" s="7" t="n">
        <v>0</v>
      </c>
      <c r="D142" s="7" t="n">
        <v>39.25</v>
      </c>
      <c r="E142" s="7" t="n">
        <v>0</v>
      </c>
      <c r="F142" s="7" t="n">
        <v>0</v>
      </c>
      <c r="G142" s="7" t="n">
        <v>0</v>
      </c>
      <c r="H142" s="7" t="n">
        <v>39.25</v>
      </c>
    </row>
    <row r="143">
      <c r="A143" s="6" t="inlineStr">
        <is>
          <t>A VAGHASIYA EOLL</t>
        </is>
      </c>
      <c r="B143" s="6" t="inlineStr">
        <is>
          <t>A-EL PKNG HIGH_RISK</t>
        </is>
      </c>
      <c r="C143" s="7" t="n">
        <v>0</v>
      </c>
      <c r="D143" s="7" t="n">
        <v>37.5</v>
      </c>
      <c r="E143" s="7" t="n">
        <v>7.25</v>
      </c>
      <c r="F143" s="7" t="n">
        <v>0</v>
      </c>
      <c r="G143" s="7" t="n">
        <v>0</v>
      </c>
      <c r="H143" s="7" t="n">
        <v>44.75</v>
      </c>
    </row>
    <row r="144">
      <c r="A144" s="6" t="inlineStr">
        <is>
          <t>J VAGHASIYA EOLL</t>
        </is>
      </c>
      <c r="B144" s="6" t="inlineStr">
        <is>
          <t>A-EL PKNG HIGH_RISK</t>
        </is>
      </c>
      <c r="C144" s="7" t="n">
        <v>0</v>
      </c>
      <c r="D144" s="7" t="n">
        <v>30</v>
      </c>
      <c r="E144" s="7" t="n">
        <v>0</v>
      </c>
      <c r="F144" s="7" t="n">
        <v>0</v>
      </c>
      <c r="G144" s="7" t="n">
        <v>0</v>
      </c>
      <c r="H144" s="7" t="n">
        <v>30</v>
      </c>
    </row>
    <row r="145">
      <c r="A145" s="6" t="inlineStr">
        <is>
          <t>A AGARWAL EOLL</t>
        </is>
      </c>
      <c r="B145" s="6" t="inlineStr">
        <is>
          <t>A-EL PKNG SLEEVING</t>
        </is>
      </c>
      <c r="C145" s="7" t="n">
        <v>0</v>
      </c>
      <c r="D145" s="7" t="n">
        <v>15</v>
      </c>
      <c r="E145" s="7" t="n">
        <v>0</v>
      </c>
      <c r="F145" s="7" t="n">
        <v>0</v>
      </c>
      <c r="G145" s="7" t="n">
        <v>0</v>
      </c>
      <c r="H145" s="7" t="n">
        <v>15</v>
      </c>
    </row>
    <row r="146">
      <c r="A146" s="6" t="inlineStr">
        <is>
          <t>J BELADIYA EOLL</t>
        </is>
      </c>
      <c r="B146" s="6" t="inlineStr">
        <is>
          <t>A-EL PKNG SLEEVING</t>
        </is>
      </c>
      <c r="C146" s="7" t="n">
        <v>0</v>
      </c>
      <c r="D146" s="7" t="n">
        <v>15</v>
      </c>
      <c r="E146" s="7" t="n">
        <v>0</v>
      </c>
      <c r="F146" s="7" t="n">
        <v>0</v>
      </c>
      <c r="G146" s="7" t="n">
        <v>0</v>
      </c>
      <c r="H146" s="7" t="n">
        <v>15</v>
      </c>
    </row>
    <row r="147">
      <c r="A147" s="6" t="inlineStr">
        <is>
          <t>B CHAVDA EOLL</t>
        </is>
      </c>
      <c r="B147" s="6" t="inlineStr">
        <is>
          <t>A-EL PKNG SLEEVING</t>
        </is>
      </c>
      <c r="C147" s="7" t="n">
        <v>0</v>
      </c>
      <c r="D147" s="7" t="n">
        <v>15.75</v>
      </c>
      <c r="E147" s="7" t="n">
        <v>0</v>
      </c>
      <c r="F147" s="7" t="n">
        <v>0</v>
      </c>
      <c r="G147" s="7" t="n">
        <v>0</v>
      </c>
      <c r="H147" s="7" t="n">
        <v>15.75</v>
      </c>
    </row>
    <row r="148">
      <c r="A148" s="6" t="inlineStr">
        <is>
          <t>V HASMUKHBHAI PATEL EOLL</t>
        </is>
      </c>
      <c r="B148" s="6" t="inlineStr">
        <is>
          <t>A-EL PKNG SLEEVING</t>
        </is>
      </c>
      <c r="C148" s="7" t="n">
        <v>0</v>
      </c>
      <c r="D148" s="7" t="n">
        <v>23</v>
      </c>
      <c r="E148" s="7" t="n">
        <v>0</v>
      </c>
      <c r="F148" s="7" t="n">
        <v>0</v>
      </c>
      <c r="G148" s="7" t="n">
        <v>0</v>
      </c>
      <c r="H148" s="7" t="n">
        <v>23</v>
      </c>
    </row>
    <row r="149">
      <c r="A149" s="6" t="inlineStr">
        <is>
          <t>N JAMNADAS EOLL</t>
        </is>
      </c>
      <c r="B149" s="6" t="inlineStr">
        <is>
          <t>A-EL PKNG SLEEVING</t>
        </is>
      </c>
      <c r="C149" s="7" t="n">
        <v>0</v>
      </c>
      <c r="D149" s="7" t="n">
        <v>0</v>
      </c>
      <c r="E149" s="7" t="n">
        <v>0</v>
      </c>
      <c r="F149" s="7" t="n">
        <v>0</v>
      </c>
      <c r="G149" s="7" t="n">
        <v>0</v>
      </c>
      <c r="H149" s="7" t="n">
        <v>0</v>
      </c>
    </row>
    <row r="150">
      <c r="A150" s="6" t="inlineStr">
        <is>
          <t>H KANANI EOLL</t>
        </is>
      </c>
      <c r="B150" s="6" t="inlineStr">
        <is>
          <t>A-EL PKNG SLEEVING</t>
        </is>
      </c>
      <c r="C150" s="7" t="n">
        <v>0</v>
      </c>
      <c r="D150" s="7" t="n">
        <v>39.5</v>
      </c>
      <c r="E150" s="7" t="n">
        <v>0</v>
      </c>
      <c r="F150" s="7" t="n">
        <v>0</v>
      </c>
      <c r="G150" s="7" t="n">
        <v>0</v>
      </c>
      <c r="H150" s="7" t="n">
        <v>39.5</v>
      </c>
    </row>
    <row r="151">
      <c r="A151" s="6" t="inlineStr">
        <is>
          <t>J KOSHTI EOLL</t>
        </is>
      </c>
      <c r="B151" s="6" t="inlineStr">
        <is>
          <t>A-EL PKNG SLEEVING</t>
        </is>
      </c>
      <c r="C151" s="7" t="n">
        <v>0</v>
      </c>
      <c r="D151" s="7" t="n">
        <v>7.5</v>
      </c>
      <c r="E151" s="7" t="n">
        <v>0</v>
      </c>
      <c r="F151" s="7" t="n">
        <v>0</v>
      </c>
      <c r="G151" s="7" t="n">
        <v>0</v>
      </c>
      <c r="H151" s="7" t="n">
        <v>7.5</v>
      </c>
    </row>
    <row r="152">
      <c r="A152" s="6" t="inlineStr">
        <is>
          <t>N MAKVANA EOLL</t>
        </is>
      </c>
      <c r="B152" s="6" t="inlineStr">
        <is>
          <t>A-EL PKNG SLEEVING</t>
        </is>
      </c>
      <c r="C152" s="7" t="n">
        <v>0</v>
      </c>
      <c r="D152" s="7" t="n">
        <v>23</v>
      </c>
      <c r="E152" s="7" t="n">
        <v>0</v>
      </c>
      <c r="F152" s="7" t="n">
        <v>0</v>
      </c>
      <c r="G152" s="7" t="n">
        <v>0</v>
      </c>
      <c r="H152" s="7" t="n">
        <v>23</v>
      </c>
    </row>
    <row r="153">
      <c r="A153" s="6" t="inlineStr">
        <is>
          <t>D MUKESHKUMAR EOLL</t>
        </is>
      </c>
      <c r="B153" s="6" t="inlineStr">
        <is>
          <t>A-EL PKNG SLEEVING</t>
        </is>
      </c>
      <c r="C153" s="7" t="n">
        <v>0</v>
      </c>
      <c r="D153" s="7" t="n">
        <v>30</v>
      </c>
      <c r="E153" s="7" t="n">
        <v>0</v>
      </c>
      <c r="F153" s="7" t="n">
        <v>0</v>
      </c>
      <c r="G153" s="7" t="n">
        <v>0</v>
      </c>
      <c r="H153" s="7" t="n">
        <v>30</v>
      </c>
    </row>
    <row r="154">
      <c r="A154" s="6" t="inlineStr">
        <is>
          <t>L PATEL EOLL</t>
        </is>
      </c>
      <c r="B154" s="6" t="inlineStr">
        <is>
          <t>A-EL PKNG SLEEVING</t>
        </is>
      </c>
      <c r="C154" s="7" t="n">
        <v>0</v>
      </c>
      <c r="D154" s="7" t="n">
        <v>0</v>
      </c>
      <c r="E154" s="7" t="n">
        <v>0</v>
      </c>
      <c r="F154" s="7" t="n">
        <v>0</v>
      </c>
      <c r="G154" s="7" t="n">
        <v>0</v>
      </c>
      <c r="H154" s="7" t="n">
        <v>0</v>
      </c>
    </row>
    <row r="155">
      <c r="A155" s="6" t="inlineStr">
        <is>
          <t>N PETHANI EOLL</t>
        </is>
      </c>
      <c r="B155" s="6" t="inlineStr">
        <is>
          <t>A-EL PKNG SLEEVING</t>
        </is>
      </c>
      <c r="C155" s="7" t="n">
        <v>0</v>
      </c>
      <c r="D155" s="7" t="n">
        <v>15</v>
      </c>
      <c r="E155" s="7" t="n">
        <v>0</v>
      </c>
      <c r="F155" s="7" t="n">
        <v>0</v>
      </c>
      <c r="G155" s="7" t="n">
        <v>0</v>
      </c>
      <c r="H155" s="7" t="n">
        <v>15</v>
      </c>
    </row>
    <row r="156">
      <c r="A156" s="6" t="inlineStr">
        <is>
          <t>N RAMESH EOLL</t>
        </is>
      </c>
      <c r="B156" s="6" t="inlineStr">
        <is>
          <t>A-EL PKNG SLEEVING</t>
        </is>
      </c>
      <c r="C156" s="7" t="n">
        <v>0</v>
      </c>
      <c r="D156" s="7" t="n">
        <v>0</v>
      </c>
      <c r="E156" s="7" t="n">
        <v>0</v>
      </c>
      <c r="F156" s="7" t="n">
        <v>0</v>
      </c>
      <c r="G156" s="7" t="n">
        <v>0</v>
      </c>
      <c r="H156" s="7" t="n">
        <v>0</v>
      </c>
    </row>
    <row r="157">
      <c r="A157" s="6" t="inlineStr">
        <is>
          <t>N RATHOD EOLL</t>
        </is>
      </c>
      <c r="B157" s="6" t="inlineStr">
        <is>
          <t>A-EL PKNG SLEEVING</t>
        </is>
      </c>
      <c r="C157" s="7" t="n">
        <v>0</v>
      </c>
      <c r="D157" s="7" t="n">
        <v>7.25</v>
      </c>
      <c r="E157" s="7" t="n">
        <v>0</v>
      </c>
      <c r="F157" s="7" t="n">
        <v>0</v>
      </c>
      <c r="G157" s="7" t="n">
        <v>0</v>
      </c>
      <c r="H157" s="7" t="n">
        <v>7.25</v>
      </c>
    </row>
    <row r="158">
      <c r="A158" s="6" t="inlineStr">
        <is>
          <t>G ROHITBHAI PATEL EOLL</t>
        </is>
      </c>
      <c r="B158" s="6" t="inlineStr">
        <is>
          <t>A-EL PKNG SLEEVING</t>
        </is>
      </c>
      <c r="C158" s="7" t="n">
        <v>0</v>
      </c>
      <c r="D158" s="7" t="n">
        <v>0</v>
      </c>
      <c r="E158" s="7" t="n">
        <v>0</v>
      </c>
      <c r="F158" s="7" t="n">
        <v>0</v>
      </c>
      <c r="G158" s="7" t="n">
        <v>0</v>
      </c>
      <c r="H158" s="7" t="n">
        <v>0</v>
      </c>
    </row>
    <row r="159">
      <c r="A159" s="6" t="inlineStr">
        <is>
          <t>D SIKOTARA EOLL</t>
        </is>
      </c>
      <c r="B159" s="6" t="inlineStr">
        <is>
          <t>A-EL PKNG SLEEVING</t>
        </is>
      </c>
      <c r="C159" s="7" t="n">
        <v>0</v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</row>
    <row r="160">
      <c r="A160" s="6" t="inlineStr">
        <is>
          <t>P THAKOR EOLL</t>
        </is>
      </c>
      <c r="B160" s="6" t="inlineStr">
        <is>
          <t>A-EL PKNG SLEEVING</t>
        </is>
      </c>
      <c r="C160" s="7" t="n">
        <v>0</v>
      </c>
      <c r="D160" s="7" t="n">
        <v>31</v>
      </c>
      <c r="E160" s="7" t="n">
        <v>0</v>
      </c>
      <c r="F160" s="7" t="n">
        <v>0</v>
      </c>
      <c r="G160" s="7" t="n">
        <v>0</v>
      </c>
      <c r="H160" s="7" t="n">
        <v>31</v>
      </c>
    </row>
    <row r="161">
      <c r="A161" s="6" t="inlineStr">
        <is>
          <t>B ARGI EOLL</t>
        </is>
      </c>
      <c r="B161" s="6" t="inlineStr">
        <is>
          <t>A-EL PROD BELT</t>
        </is>
      </c>
      <c r="C161" s="7" t="n">
        <v>0</v>
      </c>
      <c r="D161" s="7" t="n">
        <v>23.75</v>
      </c>
      <c r="E161" s="7" t="n">
        <v>0</v>
      </c>
      <c r="F161" s="7" t="n">
        <v>0</v>
      </c>
      <c r="G161" s="7" t="n">
        <v>0</v>
      </c>
      <c r="H161" s="7" t="n">
        <v>23.75</v>
      </c>
    </row>
    <row r="162">
      <c r="A162" s="6" t="inlineStr">
        <is>
          <t>K BABU EOLL</t>
        </is>
      </c>
      <c r="B162" s="6" t="inlineStr">
        <is>
          <t>A-EL PROD BELT</t>
        </is>
      </c>
      <c r="C162" s="7" t="n">
        <v>0</v>
      </c>
      <c r="D162" s="7" t="n">
        <v>34.25</v>
      </c>
      <c r="E162" s="7" t="n">
        <v>0</v>
      </c>
      <c r="F162" s="7" t="n">
        <v>0</v>
      </c>
      <c r="G162" s="7" t="n">
        <v>0</v>
      </c>
      <c r="H162" s="7" t="n">
        <v>34.25</v>
      </c>
    </row>
    <row r="163">
      <c r="A163" s="6" t="inlineStr">
        <is>
          <t>H BHIKHA EOLL</t>
        </is>
      </c>
      <c r="B163" s="6" t="inlineStr">
        <is>
          <t>A-EL PROD BELT</t>
        </is>
      </c>
      <c r="C163" s="7" t="n">
        <v>0</v>
      </c>
      <c r="D163" s="7" t="n">
        <v>34.25</v>
      </c>
      <c r="E163" s="7" t="n">
        <v>0</v>
      </c>
      <c r="F163" s="7" t="n">
        <v>0</v>
      </c>
      <c r="G163" s="7" t="n">
        <v>0</v>
      </c>
      <c r="H163" s="7" t="n">
        <v>34.25</v>
      </c>
    </row>
    <row r="164">
      <c r="A164" s="6" t="inlineStr">
        <is>
          <t>A CANGI EOLL</t>
        </is>
      </c>
      <c r="B164" s="6" t="inlineStr">
        <is>
          <t>A-EL PROD BELT</t>
        </is>
      </c>
      <c r="C164" s="7" t="n">
        <v>0</v>
      </c>
      <c r="D164" s="7" t="n">
        <v>0</v>
      </c>
      <c r="E164" s="7" t="n">
        <v>0</v>
      </c>
      <c r="F164" s="7" t="n">
        <v>0</v>
      </c>
      <c r="G164" s="7" t="n">
        <v>0</v>
      </c>
      <c r="H164" s="7" t="n">
        <v>0</v>
      </c>
    </row>
    <row r="165">
      <c r="A165" s="6" t="inlineStr">
        <is>
          <t>H CHANDRAKANT EOLL</t>
        </is>
      </c>
      <c r="B165" s="6" t="inlineStr">
        <is>
          <t>A-EL PROD BELT</t>
        </is>
      </c>
      <c r="C165" s="7" t="n">
        <v>0</v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0</v>
      </c>
    </row>
    <row r="166">
      <c r="A166" s="6" t="inlineStr">
        <is>
          <t>H CHUNILAL EOLL</t>
        </is>
      </c>
      <c r="B166" s="6" t="inlineStr">
        <is>
          <t>A-EL PROD BELT</t>
        </is>
      </c>
      <c r="C166" s="7" t="n">
        <v>0</v>
      </c>
      <c r="D166" s="7" t="n">
        <v>23.75</v>
      </c>
      <c r="E166" s="7" t="n">
        <v>0</v>
      </c>
      <c r="F166" s="7" t="n">
        <v>0</v>
      </c>
      <c r="G166" s="7" t="n">
        <v>0</v>
      </c>
      <c r="H166" s="7" t="n">
        <v>23.75</v>
      </c>
    </row>
    <row r="167">
      <c r="A167" s="6" t="inlineStr">
        <is>
          <t>A DHIRU NAYEE EOLL</t>
        </is>
      </c>
      <c r="B167" s="6" t="inlineStr">
        <is>
          <t>A-EL PROD BELT</t>
        </is>
      </c>
      <c r="C167" s="7" t="n">
        <v>0</v>
      </c>
      <c r="D167" s="7" t="n">
        <v>23.75</v>
      </c>
      <c r="E167" s="7" t="n">
        <v>0</v>
      </c>
      <c r="F167" s="7" t="n">
        <v>0</v>
      </c>
      <c r="G167" s="7" t="n">
        <v>0</v>
      </c>
      <c r="H167" s="7" t="n">
        <v>23.75</v>
      </c>
    </row>
    <row r="168">
      <c r="A168" s="6" t="inlineStr">
        <is>
          <t>A DINESH EOLL</t>
        </is>
      </c>
      <c r="B168" s="6" t="inlineStr">
        <is>
          <t>A-EL PROD BELT</t>
        </is>
      </c>
      <c r="C168" s="7" t="n">
        <v>0</v>
      </c>
      <c r="D168" s="7" t="n">
        <v>24</v>
      </c>
      <c r="E168" s="7" t="n">
        <v>0</v>
      </c>
      <c r="F168" s="7" t="n">
        <v>0</v>
      </c>
      <c r="G168" s="7" t="n">
        <v>0</v>
      </c>
      <c r="H168" s="7" t="n">
        <v>24</v>
      </c>
    </row>
    <row r="169">
      <c r="A169" s="6" t="inlineStr">
        <is>
          <t>J JIVA EOLL</t>
        </is>
      </c>
      <c r="B169" s="6" t="inlineStr">
        <is>
          <t>A-EL PROD BELT</t>
        </is>
      </c>
      <c r="C169" s="7" t="n">
        <v>0</v>
      </c>
      <c r="D169" s="7" t="n">
        <v>25.5</v>
      </c>
      <c r="E169" s="7" t="n">
        <v>0</v>
      </c>
      <c r="F169" s="7" t="n">
        <v>0</v>
      </c>
      <c r="G169" s="7" t="n">
        <v>0</v>
      </c>
      <c r="H169" s="7" t="n">
        <v>25.5</v>
      </c>
    </row>
    <row r="170">
      <c r="A170" s="6" t="inlineStr">
        <is>
          <t>J KANJI EOLL</t>
        </is>
      </c>
      <c r="B170" s="6" t="inlineStr">
        <is>
          <t>A-EL PROD BELT</t>
        </is>
      </c>
      <c r="C170" s="7" t="n">
        <v>0</v>
      </c>
      <c r="D170" s="7" t="n">
        <v>26.75</v>
      </c>
      <c r="E170" s="7" t="n">
        <v>0</v>
      </c>
      <c r="F170" s="7" t="n">
        <v>0</v>
      </c>
      <c r="G170" s="7" t="n">
        <v>0</v>
      </c>
      <c r="H170" s="7" t="n">
        <v>26.75</v>
      </c>
    </row>
    <row r="171">
      <c r="A171" s="6" t="inlineStr">
        <is>
          <t>P KHUNT EOLL</t>
        </is>
      </c>
      <c r="B171" s="6" t="inlineStr">
        <is>
          <t>A-EL PROD BELT</t>
        </is>
      </c>
      <c r="C171" s="7" t="n">
        <v>0</v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0</v>
      </c>
    </row>
    <row r="172">
      <c r="A172" s="6" t="inlineStr">
        <is>
          <t>T LALJI EOLL</t>
        </is>
      </c>
      <c r="B172" s="6" t="inlineStr">
        <is>
          <t>A-EL PROD BELT</t>
        </is>
      </c>
      <c r="C172" s="7" t="n">
        <v>0</v>
      </c>
      <c r="D172" s="7" t="n">
        <v>34.25</v>
      </c>
      <c r="E172" s="7" t="n">
        <v>0</v>
      </c>
      <c r="F172" s="7" t="n">
        <v>0</v>
      </c>
      <c r="G172" s="7" t="n">
        <v>0</v>
      </c>
      <c r="H172" s="7" t="n">
        <v>34.25</v>
      </c>
    </row>
    <row r="173">
      <c r="A173" s="6" t="inlineStr">
        <is>
          <t>C MONIZ EOLL</t>
        </is>
      </c>
      <c r="B173" s="6" t="inlineStr">
        <is>
          <t>A-EL PROD BELT</t>
        </is>
      </c>
      <c r="C173" s="7" t="n">
        <v>0</v>
      </c>
      <c r="D173" s="7" t="n">
        <v>28.75</v>
      </c>
      <c r="E173" s="7" t="n">
        <v>0</v>
      </c>
      <c r="F173" s="7" t="n">
        <v>0</v>
      </c>
      <c r="G173" s="7" t="n">
        <v>0</v>
      </c>
      <c r="H173" s="7" t="n">
        <v>28.75</v>
      </c>
    </row>
    <row r="174">
      <c r="A174" s="6" t="inlineStr">
        <is>
          <t>B NANJI BAMANIYA EOLL</t>
        </is>
      </c>
      <c r="B174" s="6" t="inlineStr">
        <is>
          <t>A-EL PROD BELT</t>
        </is>
      </c>
      <c r="C174" s="7" t="n">
        <v>0</v>
      </c>
      <c r="D174" s="7" t="n">
        <v>35.25</v>
      </c>
      <c r="E174" s="7" t="n">
        <v>0</v>
      </c>
      <c r="F174" s="7" t="n">
        <v>0</v>
      </c>
      <c r="G174" s="7" t="n">
        <v>0</v>
      </c>
      <c r="H174" s="7" t="n">
        <v>35.25</v>
      </c>
    </row>
    <row r="175">
      <c r="A175" s="6" t="inlineStr">
        <is>
          <t>D NANJI CHAVDA EOLL</t>
        </is>
      </c>
      <c r="B175" s="6" t="inlineStr">
        <is>
          <t>A-EL PROD BELT</t>
        </is>
      </c>
      <c r="C175" s="7" t="n">
        <v>0</v>
      </c>
      <c r="D175" s="7" t="n">
        <v>35.25</v>
      </c>
      <c r="E175" s="7" t="n">
        <v>0</v>
      </c>
      <c r="F175" s="7" t="n">
        <v>0</v>
      </c>
      <c r="G175" s="7" t="n">
        <v>0</v>
      </c>
      <c r="H175" s="7" t="n">
        <v>35.25</v>
      </c>
    </row>
    <row r="176">
      <c r="A176" s="6" t="inlineStr">
        <is>
          <t>D PRAVIND EOLL</t>
        </is>
      </c>
      <c r="B176" s="6" t="inlineStr">
        <is>
          <t>A-EL PROD BELT</t>
        </is>
      </c>
      <c r="C176" s="7" t="n">
        <v>0</v>
      </c>
      <c r="D176" s="7" t="n">
        <v>30.5</v>
      </c>
      <c r="E176" s="7" t="n">
        <v>0</v>
      </c>
      <c r="F176" s="7" t="n">
        <v>0</v>
      </c>
      <c r="G176" s="7" t="n">
        <v>0</v>
      </c>
      <c r="H176" s="7" t="n">
        <v>30.5</v>
      </c>
    </row>
    <row r="177">
      <c r="A177" s="6" t="inlineStr">
        <is>
          <t>K RUPESHKUMAR GADHIYA EOLL</t>
        </is>
      </c>
      <c r="B177" s="6" t="inlineStr">
        <is>
          <t>A-EL PROD BELT</t>
        </is>
      </c>
      <c r="C177" s="7" t="n">
        <v>0</v>
      </c>
      <c r="D177" s="7" t="n">
        <v>0</v>
      </c>
      <c r="E177" s="7" t="n">
        <v>0</v>
      </c>
      <c r="F177" s="7" t="n">
        <v>0</v>
      </c>
      <c r="G177" s="7" t="n">
        <v>0</v>
      </c>
      <c r="H177" s="7" t="n">
        <v>0</v>
      </c>
    </row>
    <row r="178">
      <c r="A178" s="6" t="inlineStr">
        <is>
          <t>D SETHALA EOLL</t>
        </is>
      </c>
      <c r="B178" s="6" t="inlineStr">
        <is>
          <t>A-EL PROD BELT</t>
        </is>
      </c>
      <c r="C178" s="7" t="n">
        <v>0</v>
      </c>
      <c r="D178" s="7" t="n">
        <v>24</v>
      </c>
      <c r="E178" s="7" t="n">
        <v>0</v>
      </c>
      <c r="F178" s="7" t="n">
        <v>0</v>
      </c>
      <c r="G178" s="7" t="n">
        <v>0</v>
      </c>
      <c r="H178" s="7" t="n">
        <v>24</v>
      </c>
    </row>
    <row r="179">
      <c r="A179" s="6" t="inlineStr">
        <is>
          <t>B UCARO EOLL</t>
        </is>
      </c>
      <c r="B179" s="6" t="inlineStr">
        <is>
          <t>A-EL PROD BELT</t>
        </is>
      </c>
      <c r="C179" s="7" t="n">
        <v>0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</row>
    <row r="180">
      <c r="A180" s="6" t="inlineStr">
        <is>
          <t>K UKORDA BAMANIA EOLL</t>
        </is>
      </c>
      <c r="B180" s="6" t="inlineStr">
        <is>
          <t>A-EL PROD BELT</t>
        </is>
      </c>
      <c r="C180" s="7" t="n">
        <v>0</v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</row>
    <row r="181">
      <c r="A181" s="6" t="inlineStr">
        <is>
          <t>D VISHAL EOLL</t>
        </is>
      </c>
      <c r="B181" s="6" t="inlineStr">
        <is>
          <t>A-EL PROD BELT</t>
        </is>
      </c>
      <c r="C181" s="7" t="n">
        <v>0</v>
      </c>
      <c r="D181" s="7" t="n">
        <v>23.75</v>
      </c>
      <c r="E181" s="7" t="n">
        <v>0</v>
      </c>
      <c r="F181" s="7" t="n">
        <v>0</v>
      </c>
      <c r="G181" s="7" t="n">
        <v>0</v>
      </c>
      <c r="H181" s="7" t="n">
        <v>23.75</v>
      </c>
    </row>
    <row r="182">
      <c r="A182" s="6" t="inlineStr">
        <is>
          <t>C BABU EOLL</t>
        </is>
      </c>
      <c r="B182" s="6" t="inlineStr">
        <is>
          <t>A-EL PROD FORMING</t>
        </is>
      </c>
      <c r="C182" s="7" t="n">
        <v>0</v>
      </c>
      <c r="D182" s="7" t="n">
        <v>30.75</v>
      </c>
      <c r="E182" s="7" t="n">
        <v>0</v>
      </c>
      <c r="F182" s="7" t="n">
        <v>0</v>
      </c>
      <c r="G182" s="7" t="n">
        <v>0</v>
      </c>
      <c r="H182" s="7" t="n">
        <v>30.75</v>
      </c>
    </row>
    <row r="183">
      <c r="A183" s="6" t="inlineStr">
        <is>
          <t>P JASVANT SOLANKI EOLL</t>
        </is>
      </c>
      <c r="B183" s="6" t="inlineStr">
        <is>
          <t>A-EL PROD FORMING</t>
        </is>
      </c>
      <c r="C183" s="7" t="n">
        <v>0</v>
      </c>
      <c r="D183" s="7" t="n">
        <v>23.75</v>
      </c>
      <c r="E183" s="7" t="n">
        <v>0</v>
      </c>
      <c r="F183" s="7" t="n">
        <v>0</v>
      </c>
      <c r="G183" s="7" t="n">
        <v>0</v>
      </c>
      <c r="H183" s="7" t="n">
        <v>23.75</v>
      </c>
    </row>
    <row r="184">
      <c r="A184" s="6" t="inlineStr">
        <is>
          <t>R KANUBHAI PATEL EOLL</t>
        </is>
      </c>
      <c r="B184" s="6" t="inlineStr">
        <is>
          <t>A-EL PROD FORMING</t>
        </is>
      </c>
      <c r="C184" s="7" t="n">
        <v>0</v>
      </c>
      <c r="D184" s="7" t="n">
        <v>13</v>
      </c>
      <c r="E184" s="7" t="n">
        <v>0</v>
      </c>
      <c r="F184" s="7" t="n">
        <v>0</v>
      </c>
      <c r="G184" s="7" t="n">
        <v>0</v>
      </c>
      <c r="H184" s="7" t="n">
        <v>13</v>
      </c>
    </row>
    <row r="185">
      <c r="A185" s="6" t="inlineStr">
        <is>
          <t>S DEVA EOLL</t>
        </is>
      </c>
      <c r="B185" s="6" t="inlineStr">
        <is>
          <t>A-EL PROD FRYING</t>
        </is>
      </c>
      <c r="C185" s="7" t="n">
        <v>0</v>
      </c>
      <c r="D185" s="7" t="n">
        <v>24.75</v>
      </c>
      <c r="E185" s="7" t="n">
        <v>0</v>
      </c>
      <c r="F185" s="7" t="n">
        <v>0</v>
      </c>
      <c r="G185" s="7" t="n">
        <v>0</v>
      </c>
      <c r="H185" s="7" t="n">
        <v>24.75</v>
      </c>
    </row>
    <row r="186">
      <c r="A186" s="6" t="inlineStr">
        <is>
          <t>R KALPESHKUMAR EOLL</t>
        </is>
      </c>
      <c r="B186" s="6" t="inlineStr">
        <is>
          <t>A-EL PROD FRYING</t>
        </is>
      </c>
      <c r="C186" s="7" t="n">
        <v>0</v>
      </c>
      <c r="D186" s="7" t="n">
        <v>25.25</v>
      </c>
      <c r="E186" s="7" t="n">
        <v>0</v>
      </c>
      <c r="F186" s="7" t="n">
        <v>0</v>
      </c>
      <c r="G186" s="7" t="n">
        <v>0</v>
      </c>
      <c r="H186" s="7" t="n">
        <v>25.25</v>
      </c>
    </row>
    <row r="187">
      <c r="A187" s="6" t="inlineStr">
        <is>
          <t>P PRADIPKUMAR EOLL</t>
        </is>
      </c>
      <c r="B187" s="6" t="inlineStr">
        <is>
          <t>A-EL PROD FRYING</t>
        </is>
      </c>
      <c r="C187" s="7" t="n">
        <v>0</v>
      </c>
      <c r="D187" s="7" t="n">
        <v>39</v>
      </c>
      <c r="E187" s="7" t="n">
        <v>0</v>
      </c>
      <c r="F187" s="7" t="n">
        <v>0</v>
      </c>
      <c r="G187" s="7" t="n">
        <v>0</v>
      </c>
      <c r="H187" s="7" t="n">
        <v>39</v>
      </c>
    </row>
    <row r="188">
      <c r="A188" s="6" t="inlineStr">
        <is>
          <t>P RAMESH EOLL</t>
        </is>
      </c>
      <c r="B188" s="6" t="inlineStr">
        <is>
          <t>A-EL PROD FRYING</t>
        </is>
      </c>
      <c r="C188" s="7" t="n">
        <v>0</v>
      </c>
      <c r="D188" s="7" t="n">
        <v>25.5</v>
      </c>
      <c r="E188" s="7" t="n">
        <v>7.75</v>
      </c>
      <c r="F188" s="7" t="n">
        <v>0</v>
      </c>
      <c r="G188" s="7" t="n">
        <v>0</v>
      </c>
      <c r="H188" s="7" t="n">
        <v>33.25</v>
      </c>
    </row>
    <row r="189">
      <c r="A189" s="6" t="inlineStr">
        <is>
          <t>G UKARDA BAMANIA EOLL</t>
        </is>
      </c>
      <c r="B189" s="6" t="inlineStr">
        <is>
          <t>A-EL PROD FRYING</t>
        </is>
      </c>
      <c r="C189" s="7" t="n">
        <v>0</v>
      </c>
      <c r="D189" s="7" t="n">
        <v>40.25</v>
      </c>
      <c r="E189" s="7" t="n">
        <v>0</v>
      </c>
      <c r="F189" s="7" t="n">
        <v>0</v>
      </c>
      <c r="G189" s="7" t="n">
        <v>0</v>
      </c>
      <c r="H189" s="7" t="n">
        <v>40.25</v>
      </c>
    </row>
    <row r="190">
      <c r="A190" s="6" t="inlineStr">
        <is>
          <t>C ALMEIDA EOLL</t>
        </is>
      </c>
      <c r="B190" s="6" t="inlineStr">
        <is>
          <t>A-EL PROD PREPARATION</t>
        </is>
      </c>
      <c r="C190" s="7" t="n">
        <v>0</v>
      </c>
      <c r="D190" s="7" t="n">
        <v>41.25</v>
      </c>
      <c r="E190" s="7" t="n">
        <v>4.5</v>
      </c>
      <c r="F190" s="7" t="n">
        <v>0</v>
      </c>
      <c r="G190" s="7" t="n">
        <v>0</v>
      </c>
      <c r="H190" s="7" t="n">
        <v>45.75</v>
      </c>
    </row>
    <row r="191">
      <c r="A191" s="6" t="inlineStr">
        <is>
          <t>K BABU EOLL</t>
        </is>
      </c>
      <c r="B191" s="6" t="inlineStr">
        <is>
          <t>A-EL PROD PREPARATION</t>
        </is>
      </c>
      <c r="C191" s="7" t="n">
        <v>0</v>
      </c>
      <c r="D191" s="7" t="n">
        <v>36.5</v>
      </c>
      <c r="E191" s="7" t="n">
        <v>0</v>
      </c>
      <c r="F191" s="7" t="n">
        <v>0</v>
      </c>
      <c r="G191" s="7" t="n">
        <v>0</v>
      </c>
      <c r="H191" s="7" t="n">
        <v>36.5</v>
      </c>
    </row>
    <row r="192">
      <c r="A192" s="6" t="inlineStr">
        <is>
          <t>V CARSANE EOLL</t>
        </is>
      </c>
      <c r="B192" s="6" t="inlineStr">
        <is>
          <t>A-EL PROD PREPARATION</t>
        </is>
      </c>
      <c r="C192" s="7" t="n">
        <v>0</v>
      </c>
      <c r="D192" s="7" t="n">
        <v>23.75</v>
      </c>
      <c r="E192" s="7" t="n">
        <v>0</v>
      </c>
      <c r="F192" s="7" t="n">
        <v>0</v>
      </c>
      <c r="G192" s="7" t="n">
        <v>0</v>
      </c>
      <c r="H192" s="7" t="n">
        <v>23.75</v>
      </c>
    </row>
    <row r="193">
      <c r="A193" s="6" t="inlineStr">
        <is>
          <t>F DA CUNHA EOLL</t>
        </is>
      </c>
      <c r="B193" s="6" t="inlineStr">
        <is>
          <t>A-EL PROD PREPARATION</t>
        </is>
      </c>
      <c r="C193" s="7" t="n">
        <v>0</v>
      </c>
      <c r="D193" s="7" t="n">
        <v>41.25</v>
      </c>
      <c r="E193" s="7" t="n">
        <v>6</v>
      </c>
      <c r="F193" s="7" t="n">
        <v>0</v>
      </c>
      <c r="G193" s="7" t="n">
        <v>0</v>
      </c>
      <c r="H193" s="7" t="n">
        <v>47.25</v>
      </c>
    </row>
    <row r="194">
      <c r="A194" s="6" t="inlineStr">
        <is>
          <t>S DATTA EOLL</t>
        </is>
      </c>
      <c r="B194" s="6" t="inlineStr">
        <is>
          <t>A-EL PROD PREPARATION</t>
        </is>
      </c>
      <c r="C194" s="7" t="n">
        <v>0</v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</row>
    <row r="195">
      <c r="A195" s="6" t="inlineStr">
        <is>
          <t>A GIRI EOLL</t>
        </is>
      </c>
      <c r="B195" s="6" t="inlineStr">
        <is>
          <t>A-EL PROD PREPARATION</t>
        </is>
      </c>
      <c r="C195" s="7" t="n">
        <v>0</v>
      </c>
      <c r="D195" s="7" t="n">
        <v>41.25</v>
      </c>
      <c r="E195" s="7" t="n">
        <v>6.75</v>
      </c>
      <c r="F195" s="7" t="n">
        <v>0</v>
      </c>
      <c r="G195" s="7" t="n">
        <v>0</v>
      </c>
      <c r="H195" s="7" t="n">
        <v>48</v>
      </c>
    </row>
    <row r="196">
      <c r="A196" s="6" t="inlineStr">
        <is>
          <t>D LOBO EOLL</t>
        </is>
      </c>
      <c r="B196" s="6" t="inlineStr">
        <is>
          <t>A-EL PROD PREPARATION</t>
        </is>
      </c>
      <c r="C196" s="7" t="n">
        <v>0</v>
      </c>
      <c r="D196" s="7" t="n">
        <v>34</v>
      </c>
      <c r="E196" s="7" t="n">
        <v>0</v>
      </c>
      <c r="F196" s="7" t="n">
        <v>0</v>
      </c>
      <c r="G196" s="7" t="n">
        <v>0</v>
      </c>
      <c r="H196" s="7" t="n">
        <v>34</v>
      </c>
    </row>
    <row r="197">
      <c r="A197" s="6" t="inlineStr">
        <is>
          <t>D PREMJI EOLL</t>
        </is>
      </c>
      <c r="B197" s="6" t="inlineStr">
        <is>
          <t>A-EL PROD PREPARATION</t>
        </is>
      </c>
      <c r="C197" s="7" t="n">
        <v>0</v>
      </c>
      <c r="D197" s="7" t="n">
        <v>41.25</v>
      </c>
      <c r="E197" s="7" t="n">
        <v>6.75</v>
      </c>
      <c r="F197" s="7" t="n">
        <v>0</v>
      </c>
      <c r="G197" s="7" t="n">
        <v>0</v>
      </c>
      <c r="H197" s="7" t="n">
        <v>48</v>
      </c>
    </row>
    <row r="198">
      <c r="A198" s="6" t="inlineStr">
        <is>
          <t>K RAMESHBHAI VEKARIA EOLL</t>
        </is>
      </c>
      <c r="B198" s="6" t="inlineStr">
        <is>
          <t>A-EL TECHNICAL</t>
        </is>
      </c>
      <c r="C198" s="7" t="n">
        <v>0</v>
      </c>
      <c r="D198" s="7" t="n">
        <v>39.75</v>
      </c>
      <c r="E198" s="7" t="n">
        <v>0</v>
      </c>
      <c r="F198" s="7" t="n">
        <v>0</v>
      </c>
      <c r="G198" s="7" t="n">
        <v>0</v>
      </c>
      <c r="H198" s="7" t="n">
        <v>39.75</v>
      </c>
    </row>
    <row r="199">
      <c r="A199" s="6" t="inlineStr">
        <is>
          <t>P VAISHYA EOLL</t>
        </is>
      </c>
      <c r="B199" s="6" t="inlineStr">
        <is>
          <t>A-EL WRHS</t>
        </is>
      </c>
      <c r="C199" s="7" t="n">
        <v>0</v>
      </c>
      <c r="D199" s="7" t="n">
        <v>22.75</v>
      </c>
      <c r="E199" s="7" t="n">
        <v>0</v>
      </c>
      <c r="F199" s="7" t="n">
        <v>0</v>
      </c>
      <c r="G199" s="7" t="n">
        <v>0</v>
      </c>
      <c r="H199" s="7" t="n">
        <v>22.75</v>
      </c>
    </row>
    <row r="200">
      <c r="A200" s="6" t="inlineStr">
        <is>
          <t>T CARVALHO PRIDE MANAGEMENT</t>
        </is>
      </c>
      <c r="B200" s="6" t="inlineStr">
        <is>
          <t>A-PM PKNG HIGH_RISK</t>
        </is>
      </c>
      <c r="C200" s="7" t="n">
        <v>0</v>
      </c>
      <c r="D200" s="7" t="n">
        <v>36</v>
      </c>
      <c r="E200" s="7" t="n">
        <v>7.75</v>
      </c>
      <c r="F200" s="7" t="n">
        <v>0</v>
      </c>
      <c r="G200" s="7" t="n">
        <v>0</v>
      </c>
      <c r="H200" s="7" t="n">
        <v>43.75</v>
      </c>
    </row>
    <row r="201">
      <c r="A201" s="6" t="inlineStr">
        <is>
          <t>V KALSARIYA RESPONSE</t>
        </is>
      </c>
      <c r="B201" s="6" t="inlineStr">
        <is>
          <t>A-RS PKNG SLEEVING</t>
        </is>
      </c>
      <c r="C201" s="7" t="n">
        <v>0</v>
      </c>
      <c r="D201" s="7" t="n">
        <v>31</v>
      </c>
      <c r="E201" s="7" t="n">
        <v>0</v>
      </c>
      <c r="F201" s="7" t="n">
        <v>0</v>
      </c>
      <c r="G201" s="7" t="n">
        <v>0</v>
      </c>
      <c r="H201" s="7" t="n">
        <v>31</v>
      </c>
    </row>
    <row r="202">
      <c r="A202" s="6" t="inlineStr">
        <is>
          <t>S SINGH RESPONSE</t>
        </is>
      </c>
      <c r="B202" s="6" t="inlineStr">
        <is>
          <t>A-RS PROD BELT</t>
        </is>
      </c>
      <c r="C202" s="7" t="n">
        <v>0</v>
      </c>
      <c r="D202" s="7" t="n">
        <v>23.75</v>
      </c>
      <c r="E202" s="7" t="n">
        <v>0</v>
      </c>
      <c r="F202" s="7" t="n">
        <v>0</v>
      </c>
      <c r="G202" s="7" t="n">
        <v>0</v>
      </c>
      <c r="H202" s="7" t="n">
        <v>23.75</v>
      </c>
    </row>
    <row r="203">
      <c r="A203" s="6" t="inlineStr">
        <is>
          <t>H SONAWANE RESPONSE</t>
        </is>
      </c>
      <c r="B203" s="6" t="inlineStr">
        <is>
          <t>A-RS PROD BELT</t>
        </is>
      </c>
      <c r="C203" s="7" t="n">
        <v>0</v>
      </c>
      <c r="D203" s="7" t="n">
        <v>17.75</v>
      </c>
      <c r="E203" s="7" t="n">
        <v>0</v>
      </c>
      <c r="F203" s="7" t="n">
        <v>0</v>
      </c>
      <c r="G203" s="7" t="n">
        <v>0</v>
      </c>
      <c r="H203" s="7" t="n">
        <v>17.75</v>
      </c>
    </row>
    <row r="204">
      <c r="A204" s="6" t="inlineStr">
        <is>
          <t>A VAHORA RESPONSE</t>
        </is>
      </c>
      <c r="B204" s="6" t="inlineStr">
        <is>
          <t>A-RS PROD BELT</t>
        </is>
      </c>
      <c r="C204" s="7" t="n">
        <v>0</v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</v>
      </c>
    </row>
    <row r="205">
      <c r="A205" s="6" t="inlineStr">
        <is>
          <t>A DABGAR RESPONSE</t>
        </is>
      </c>
      <c r="B205" s="6" t="inlineStr">
        <is>
          <t>A-RS PROD FRYING</t>
        </is>
      </c>
      <c r="C205" s="7" t="n">
        <v>0</v>
      </c>
      <c r="D205" s="7" t="n">
        <v>0</v>
      </c>
      <c r="E205" s="7" t="n">
        <v>0</v>
      </c>
      <c r="F205" s="7" t="n">
        <v>0</v>
      </c>
      <c r="G205" s="7" t="n">
        <v>0</v>
      </c>
      <c r="H205" s="7" t="n">
        <v>0</v>
      </c>
    </row>
    <row r="207">
      <c r="A207" s="3" t="inlineStr">
        <is>
          <t>Adjustments (0)</t>
        </is>
      </c>
    </row>
    <row r="208">
      <c r="A208" s="4" t="inlineStr">
        <is>
          <t>Manual hour corrections recorded in the legacy weekly file.</t>
        </is>
      </c>
    </row>
    <row r="209">
      <c r="B209" s="5" t="inlineStr">
        <is>
          <t>Name</t>
        </is>
      </c>
      <c r="C209" s="5" t="inlineStr">
        <is>
          <t>Type</t>
        </is>
      </c>
      <c r="D209" s="5" t="inlineStr">
        <is>
          <t>Value</t>
        </is>
      </c>
    </row>
    <row r="211">
      <c r="A211" s="3" t="inlineStr">
        <is>
          <t>Category totals</t>
        </is>
      </c>
    </row>
    <row r="212">
      <c r="A212" s="4" t="inlineStr">
        <is>
          <t>Sum of hours by work category for this week (SUMIFS from employee rows above).</t>
        </is>
      </c>
    </row>
    <row r="213">
      <c r="A213" s="5" t="n"/>
      <c r="B213" s="5" t="inlineStr">
        <is>
          <t>Category</t>
        </is>
      </c>
      <c r="C213" s="5" t="n"/>
      <c r="D213" s="5" t="inlineStr">
        <is>
          <t>Basic hours</t>
        </is>
      </c>
      <c r="E213" s="5" t="inlineStr">
        <is>
          <t>Mon–Fri overtime</t>
        </is>
      </c>
      <c r="F213" s="5" t="inlineStr">
        <is>
          <t>Sat/Sun overtime</t>
        </is>
      </c>
      <c r="G213" s="5" t="inlineStr">
        <is>
          <t>Annual holiday</t>
        </is>
      </c>
      <c r="H213" s="5" t="inlineStr">
        <is>
          <t>Total paid hours</t>
        </is>
      </c>
    </row>
    <row r="214">
      <c r="A214" s="6" t="n"/>
      <c r="B214" s="6" t="inlineStr">
        <is>
          <t>CLNR</t>
        </is>
      </c>
      <c r="C214" s="6" t="n"/>
      <c r="D214" s="7">
        <f>SUMIFS($D$7:$D$205,$B$7:$B$205,$B214)</f>
        <v/>
      </c>
      <c r="E214" s="7">
        <f>SUMIFS($E$7:$E$205,$B$7:$B$205,$B214)</f>
        <v/>
      </c>
      <c r="F214" s="7">
        <f>SUMIFS($F$7:$F$205,$B$7:$B$205,$B214)</f>
        <v/>
      </c>
      <c r="G214" s="7">
        <f>SUMIFS($G$7:$G$205,$B$7:$B$205,$B214)</f>
        <v/>
      </c>
      <c r="H214" s="7">
        <f>SUMIFS($H$7:$H$205,$B$7:$B$205,$B214)</f>
        <v/>
      </c>
    </row>
    <row r="215">
      <c r="A215" s="6" t="n"/>
      <c r="B215" s="6" t="inlineStr">
        <is>
          <t>DPCH</t>
        </is>
      </c>
      <c r="C215" s="6" t="n"/>
      <c r="D215" s="7">
        <f>SUMIFS($D$7:$D$205,$B$7:$B$205,$B215)</f>
        <v/>
      </c>
      <c r="E215" s="7">
        <f>SUMIFS($E$7:$E$205,$B$7:$B$205,$B215)</f>
        <v/>
      </c>
      <c r="F215" s="7">
        <f>SUMIFS($F$7:$F$205,$B$7:$B$205,$B215)</f>
        <v/>
      </c>
      <c r="G215" s="7">
        <f>SUMIFS($G$7:$G$205,$B$7:$B$205,$B215)</f>
        <v/>
      </c>
      <c r="H215" s="7">
        <f>SUMIFS($H$7:$H$205,$B$7:$B$205,$B215)</f>
        <v/>
      </c>
    </row>
    <row r="216">
      <c r="A216" s="6" t="n"/>
      <c r="B216" s="6" t="inlineStr">
        <is>
          <t>OFCE</t>
        </is>
      </c>
      <c r="C216" s="6" t="n"/>
      <c r="D216" s="7">
        <f>SUMIFS($D$7:$D$205,$B$7:$B$205,$B216)</f>
        <v/>
      </c>
      <c r="E216" s="7">
        <f>SUMIFS($E$7:$E$205,$B$7:$B$205,$B216)</f>
        <v/>
      </c>
      <c r="F216" s="7">
        <f>SUMIFS($F$7:$F$205,$B$7:$B$205,$B216)</f>
        <v/>
      </c>
      <c r="G216" s="7">
        <f>SUMIFS($G$7:$G$205,$B$7:$B$205,$B216)</f>
        <v/>
      </c>
      <c r="H216" s="7">
        <f>SUMIFS($H$7:$H$205,$B$7:$B$205,$B216)</f>
        <v/>
      </c>
    </row>
    <row r="217">
      <c r="A217" s="6" t="n"/>
      <c r="B217" s="6" t="inlineStr">
        <is>
          <t>PKNG HIGH_RISK</t>
        </is>
      </c>
      <c r="C217" s="6" t="n"/>
      <c r="D217" s="7">
        <f>SUMIFS($D$7:$D$205,$B$7:$B$205,$B217)</f>
        <v/>
      </c>
      <c r="E217" s="7">
        <f>SUMIFS($E$7:$E$205,$B$7:$B$205,$B217)</f>
        <v/>
      </c>
      <c r="F217" s="7">
        <f>SUMIFS($F$7:$F$205,$B$7:$B$205,$B217)</f>
        <v/>
      </c>
      <c r="G217" s="7">
        <f>SUMIFS($G$7:$G$205,$B$7:$B$205,$B217)</f>
        <v/>
      </c>
      <c r="H217" s="7">
        <f>SUMIFS($H$7:$H$205,$B$7:$B$205,$B217)</f>
        <v/>
      </c>
    </row>
    <row r="218">
      <c r="A218" s="6" t="n"/>
      <c r="B218" s="6" t="inlineStr">
        <is>
          <t>PKNG SLEEVING</t>
        </is>
      </c>
      <c r="C218" s="6" t="n"/>
      <c r="D218" s="7">
        <f>SUMIFS($D$7:$D$205,$B$7:$B$205,$B218)</f>
        <v/>
      </c>
      <c r="E218" s="7">
        <f>SUMIFS($E$7:$E$205,$B$7:$B$205,$B218)</f>
        <v/>
      </c>
      <c r="F218" s="7">
        <f>SUMIFS($F$7:$F$205,$B$7:$B$205,$B218)</f>
        <v/>
      </c>
      <c r="G218" s="7">
        <f>SUMIFS($G$7:$G$205,$B$7:$B$205,$B218)</f>
        <v/>
      </c>
      <c r="H218" s="7">
        <f>SUMIFS($H$7:$H$205,$B$7:$B$205,$B218)</f>
        <v/>
      </c>
    </row>
    <row r="219">
      <c r="A219" s="6" t="n"/>
      <c r="B219" s="6" t="inlineStr">
        <is>
          <t>PROD BELT</t>
        </is>
      </c>
      <c r="C219" s="6" t="n"/>
      <c r="D219" s="7">
        <f>SUMIFS($D$7:$D$205,$B$7:$B$205,$B219)</f>
        <v/>
      </c>
      <c r="E219" s="7">
        <f>SUMIFS($E$7:$E$205,$B$7:$B$205,$B219)</f>
        <v/>
      </c>
      <c r="F219" s="7">
        <f>SUMIFS($F$7:$F$205,$B$7:$B$205,$B219)</f>
        <v/>
      </c>
      <c r="G219" s="7">
        <f>SUMIFS($G$7:$G$205,$B$7:$B$205,$B219)</f>
        <v/>
      </c>
      <c r="H219" s="7">
        <f>SUMIFS($H$7:$H$205,$B$7:$B$205,$B219)</f>
        <v/>
      </c>
    </row>
    <row r="220">
      <c r="A220" s="6" t="n"/>
      <c r="B220" s="6" t="inlineStr">
        <is>
          <t>PROD FORMING</t>
        </is>
      </c>
      <c r="C220" s="6" t="n"/>
      <c r="D220" s="7">
        <f>SUMIFS($D$7:$D$205,$B$7:$B$205,$B220)</f>
        <v/>
      </c>
      <c r="E220" s="7">
        <f>SUMIFS($E$7:$E$205,$B$7:$B$205,$B220)</f>
        <v/>
      </c>
      <c r="F220" s="7">
        <f>SUMIFS($F$7:$F$205,$B$7:$B$205,$B220)</f>
        <v/>
      </c>
      <c r="G220" s="7">
        <f>SUMIFS($G$7:$G$205,$B$7:$B$205,$B220)</f>
        <v/>
      </c>
      <c r="H220" s="7">
        <f>SUMIFS($H$7:$H$205,$B$7:$B$205,$B220)</f>
        <v/>
      </c>
    </row>
    <row r="221">
      <c r="A221" s="6" t="n"/>
      <c r="B221" s="6" t="inlineStr">
        <is>
          <t>PROD FRYING</t>
        </is>
      </c>
      <c r="C221" s="6" t="n"/>
      <c r="D221" s="7">
        <f>SUMIFS($D$7:$D$205,$B$7:$B$205,$B221)</f>
        <v/>
      </c>
      <c r="E221" s="7">
        <f>SUMIFS($E$7:$E$205,$B$7:$B$205,$B221)</f>
        <v/>
      </c>
      <c r="F221" s="7">
        <f>SUMIFS($F$7:$F$205,$B$7:$B$205,$B221)</f>
        <v/>
      </c>
      <c r="G221" s="7">
        <f>SUMIFS($G$7:$G$205,$B$7:$B$205,$B221)</f>
        <v/>
      </c>
      <c r="H221" s="7">
        <f>SUMIFS($H$7:$H$205,$B$7:$B$205,$B221)</f>
        <v/>
      </c>
    </row>
    <row r="222">
      <c r="A222" s="6" t="n"/>
      <c r="B222" s="6" t="inlineStr">
        <is>
          <t>PROD PREPARATION</t>
        </is>
      </c>
      <c r="C222" s="6" t="n"/>
      <c r="D222" s="7">
        <f>SUMIFS($D$7:$D$205,$B$7:$B$205,$B222)</f>
        <v/>
      </c>
      <c r="E222" s="7">
        <f>SUMIFS($E$7:$E$205,$B$7:$B$205,$B222)</f>
        <v/>
      </c>
      <c r="F222" s="7">
        <f>SUMIFS($F$7:$F$205,$B$7:$B$205,$B222)</f>
        <v/>
      </c>
      <c r="G222" s="7">
        <f>SUMIFS($G$7:$G$205,$B$7:$B$205,$B222)</f>
        <v/>
      </c>
      <c r="H222" s="7">
        <f>SUMIFS($H$7:$H$205,$B$7:$B$205,$B222)</f>
        <v/>
      </c>
    </row>
    <row r="223">
      <c r="A223" s="6" t="n"/>
      <c r="B223" s="6" t="inlineStr">
        <is>
          <t>PROD TABLE</t>
        </is>
      </c>
      <c r="C223" s="6" t="n"/>
      <c r="D223" s="7">
        <f>SUMIFS($D$7:$D$205,$B$7:$B$205,$B223)</f>
        <v/>
      </c>
      <c r="E223" s="7">
        <f>SUMIFS($E$7:$E$205,$B$7:$B$205,$B223)</f>
        <v/>
      </c>
      <c r="F223" s="7">
        <f>SUMIFS($F$7:$F$205,$B$7:$B$205,$B223)</f>
        <v/>
      </c>
      <c r="G223" s="7">
        <f>SUMIFS($G$7:$G$205,$B$7:$B$205,$B223)</f>
        <v/>
      </c>
      <c r="H223" s="7">
        <f>SUMIFS($H$7:$H$205,$B$7:$B$205,$B223)</f>
        <v/>
      </c>
    </row>
    <row r="224">
      <c r="A224" s="6" t="n"/>
      <c r="B224" s="6" t="inlineStr">
        <is>
          <t>TECH TECHNICAL</t>
        </is>
      </c>
      <c r="C224" s="6" t="n"/>
      <c r="D224" s="7">
        <f>SUMIFS($D$7:$D$205,$B$7:$B$205,$B224)</f>
        <v/>
      </c>
      <c r="E224" s="7">
        <f>SUMIFS($E$7:$E$205,$B$7:$B$205,$B224)</f>
        <v/>
      </c>
      <c r="F224" s="7">
        <f>SUMIFS($F$7:$F$205,$B$7:$B$205,$B224)</f>
        <v/>
      </c>
      <c r="G224" s="7">
        <f>SUMIFS($G$7:$G$205,$B$7:$B$205,$B224)</f>
        <v/>
      </c>
      <c r="H224" s="7">
        <f>SUMIFS($H$7:$H$205,$B$7:$B$205,$B224)</f>
        <v/>
      </c>
    </row>
    <row r="225">
      <c r="A225" s="6" t="n"/>
      <c r="B225" s="6" t="inlineStr">
        <is>
          <t>WRHS</t>
        </is>
      </c>
      <c r="C225" s="6" t="n"/>
      <c r="D225" s="7">
        <f>SUMIFS($D$7:$D$205,$B$7:$B$205,$B225)</f>
        <v/>
      </c>
      <c r="E225" s="7">
        <f>SUMIFS($E$7:$E$205,$B$7:$B$205,$B225)</f>
        <v/>
      </c>
      <c r="F225" s="7">
        <f>SUMIFS($F$7:$F$205,$B$7:$B$205,$B225)</f>
        <v/>
      </c>
      <c r="G225" s="7">
        <f>SUMIFS($G$7:$G$205,$B$7:$B$205,$B225)</f>
        <v/>
      </c>
      <c r="H225" s="7">
        <f>SUMIFS($H$7:$H$205,$B$7:$B$205,$B225)</f>
        <v/>
      </c>
    </row>
    <row r="226">
      <c r="A226" s="6" t="n"/>
      <c r="B226" s="6" t="inlineStr">
        <is>
          <t>A-EL CLNR</t>
        </is>
      </c>
      <c r="C226" s="6" t="n"/>
      <c r="D226" s="7">
        <f>SUMIFS($D$7:$D$205,$B$7:$B$205,$B226)</f>
        <v/>
      </c>
      <c r="E226" s="7">
        <f>SUMIFS($E$7:$E$205,$B$7:$B$205,$B226)</f>
        <v/>
      </c>
      <c r="F226" s="7">
        <f>SUMIFS($F$7:$F$205,$B$7:$B$205,$B226)</f>
        <v/>
      </c>
      <c r="G226" s="7">
        <f>SUMIFS($G$7:$G$205,$B$7:$B$205,$B226)</f>
        <v/>
      </c>
      <c r="H226" s="7">
        <f>SUMIFS($H$7:$H$205,$B$7:$B$205,$B226)</f>
        <v/>
      </c>
    </row>
    <row r="227">
      <c r="A227" s="6" t="n"/>
      <c r="B227" s="6" t="inlineStr">
        <is>
          <t>A-EL DPCH</t>
        </is>
      </c>
      <c r="C227" s="6" t="n"/>
      <c r="D227" s="7">
        <f>SUMIFS($D$7:$D$205,$B$7:$B$205,$B227)</f>
        <v/>
      </c>
      <c r="E227" s="7">
        <f>SUMIFS($E$7:$E$205,$B$7:$B$205,$B227)</f>
        <v/>
      </c>
      <c r="F227" s="7">
        <f>SUMIFS($F$7:$F$205,$B$7:$B$205,$B227)</f>
        <v/>
      </c>
      <c r="G227" s="7">
        <f>SUMIFS($G$7:$G$205,$B$7:$B$205,$B227)</f>
        <v/>
      </c>
      <c r="H227" s="7">
        <f>SUMIFS($H$7:$H$205,$B$7:$B$205,$B227)</f>
        <v/>
      </c>
    </row>
    <row r="228">
      <c r="A228" s="6" t="n"/>
      <c r="B228" s="6" t="inlineStr">
        <is>
          <t>A-EL PKNG HIGH_RISK</t>
        </is>
      </c>
      <c r="C228" s="6" t="n"/>
      <c r="D228" s="7">
        <f>SUMIFS($D$7:$D$205,$B$7:$B$205,$B228)</f>
        <v/>
      </c>
      <c r="E228" s="7">
        <f>SUMIFS($E$7:$E$205,$B$7:$B$205,$B228)</f>
        <v/>
      </c>
      <c r="F228" s="7">
        <f>SUMIFS($F$7:$F$205,$B$7:$B$205,$B228)</f>
        <v/>
      </c>
      <c r="G228" s="7">
        <f>SUMIFS($G$7:$G$205,$B$7:$B$205,$B228)</f>
        <v/>
      </c>
      <c r="H228" s="7">
        <f>SUMIFS($H$7:$H$205,$B$7:$B$205,$B228)</f>
        <v/>
      </c>
    </row>
    <row r="229">
      <c r="A229" s="6" t="n"/>
      <c r="B229" s="6" t="inlineStr">
        <is>
          <t>A-EL PKNG SLEEVING</t>
        </is>
      </c>
      <c r="C229" s="6" t="n"/>
      <c r="D229" s="7">
        <f>SUMIFS($D$7:$D$205,$B$7:$B$205,$B229)</f>
        <v/>
      </c>
      <c r="E229" s="7">
        <f>SUMIFS($E$7:$E$205,$B$7:$B$205,$B229)</f>
        <v/>
      </c>
      <c r="F229" s="7">
        <f>SUMIFS($F$7:$F$205,$B$7:$B$205,$B229)</f>
        <v/>
      </c>
      <c r="G229" s="7">
        <f>SUMIFS($G$7:$G$205,$B$7:$B$205,$B229)</f>
        <v/>
      </c>
      <c r="H229" s="7">
        <f>SUMIFS($H$7:$H$205,$B$7:$B$205,$B229)</f>
        <v/>
      </c>
    </row>
    <row r="230">
      <c r="A230" s="6" t="n"/>
      <c r="B230" s="6" t="inlineStr">
        <is>
          <t>A-EL PROD BELT</t>
        </is>
      </c>
      <c r="C230" s="6" t="n"/>
      <c r="D230" s="7">
        <f>SUMIFS($D$7:$D$205,$B$7:$B$205,$B230)</f>
        <v/>
      </c>
      <c r="E230" s="7">
        <f>SUMIFS($E$7:$E$205,$B$7:$B$205,$B230)</f>
        <v/>
      </c>
      <c r="F230" s="7">
        <f>SUMIFS($F$7:$F$205,$B$7:$B$205,$B230)</f>
        <v/>
      </c>
      <c r="G230" s="7">
        <f>SUMIFS($G$7:$G$205,$B$7:$B$205,$B230)</f>
        <v/>
      </c>
      <c r="H230" s="7">
        <f>SUMIFS($H$7:$H$205,$B$7:$B$205,$B230)</f>
        <v/>
      </c>
    </row>
    <row r="231">
      <c r="A231" s="6" t="n"/>
      <c r="B231" s="6" t="inlineStr">
        <is>
          <t>A-EL PROD FORMING</t>
        </is>
      </c>
      <c r="C231" s="6" t="n"/>
      <c r="D231" s="7">
        <f>SUMIFS($D$7:$D$205,$B$7:$B$205,$B231)</f>
        <v/>
      </c>
      <c r="E231" s="7">
        <f>SUMIFS($E$7:$E$205,$B$7:$B$205,$B231)</f>
        <v/>
      </c>
      <c r="F231" s="7">
        <f>SUMIFS($F$7:$F$205,$B$7:$B$205,$B231)</f>
        <v/>
      </c>
      <c r="G231" s="7">
        <f>SUMIFS($G$7:$G$205,$B$7:$B$205,$B231)</f>
        <v/>
      </c>
      <c r="H231" s="7">
        <f>SUMIFS($H$7:$H$205,$B$7:$B$205,$B231)</f>
        <v/>
      </c>
    </row>
    <row r="232">
      <c r="A232" s="6" t="n"/>
      <c r="B232" s="6" t="inlineStr">
        <is>
          <t>A-EL PROD FRYING</t>
        </is>
      </c>
      <c r="C232" s="6" t="n"/>
      <c r="D232" s="7">
        <f>SUMIFS($D$7:$D$205,$B$7:$B$205,$B232)</f>
        <v/>
      </c>
      <c r="E232" s="7">
        <f>SUMIFS($E$7:$E$205,$B$7:$B$205,$B232)</f>
        <v/>
      </c>
      <c r="F232" s="7">
        <f>SUMIFS($F$7:$F$205,$B$7:$B$205,$B232)</f>
        <v/>
      </c>
      <c r="G232" s="7">
        <f>SUMIFS($G$7:$G$205,$B$7:$B$205,$B232)</f>
        <v/>
      </c>
      <c r="H232" s="7">
        <f>SUMIFS($H$7:$H$205,$B$7:$B$205,$B232)</f>
        <v/>
      </c>
    </row>
    <row r="233">
      <c r="A233" s="6" t="n"/>
      <c r="B233" s="6" t="inlineStr">
        <is>
          <t>A-EL PROD PREPARATION</t>
        </is>
      </c>
      <c r="C233" s="6" t="n"/>
      <c r="D233" s="7">
        <f>SUMIFS($D$7:$D$205,$B$7:$B$205,$B233)</f>
        <v/>
      </c>
      <c r="E233" s="7">
        <f>SUMIFS($E$7:$E$205,$B$7:$B$205,$B233)</f>
        <v/>
      </c>
      <c r="F233" s="7">
        <f>SUMIFS($F$7:$F$205,$B$7:$B$205,$B233)</f>
        <v/>
      </c>
      <c r="G233" s="7">
        <f>SUMIFS($G$7:$G$205,$B$7:$B$205,$B233)</f>
        <v/>
      </c>
      <c r="H233" s="7">
        <f>SUMIFS($H$7:$H$205,$B$7:$B$205,$B233)</f>
        <v/>
      </c>
    </row>
    <row r="234">
      <c r="A234" s="6" t="n"/>
      <c r="B234" s="6" t="inlineStr">
        <is>
          <t>A-EL TECHNICAL</t>
        </is>
      </c>
      <c r="C234" s="6" t="n"/>
      <c r="D234" s="7">
        <f>SUMIFS($D$7:$D$205,$B$7:$B$205,$B234)</f>
        <v/>
      </c>
      <c r="E234" s="7">
        <f>SUMIFS($E$7:$E$205,$B$7:$B$205,$B234)</f>
        <v/>
      </c>
      <c r="F234" s="7">
        <f>SUMIFS($F$7:$F$205,$B$7:$B$205,$B234)</f>
        <v/>
      </c>
      <c r="G234" s="7">
        <f>SUMIFS($G$7:$G$205,$B$7:$B$205,$B234)</f>
        <v/>
      </c>
      <c r="H234" s="7">
        <f>SUMIFS($H$7:$H$205,$B$7:$B$205,$B234)</f>
        <v/>
      </c>
    </row>
    <row r="235">
      <c r="A235" s="6" t="n"/>
      <c r="B235" s="6" t="inlineStr">
        <is>
          <t>A-EL WRHS</t>
        </is>
      </c>
      <c r="C235" s="6" t="n"/>
      <c r="D235" s="7">
        <f>SUMIFS($D$7:$D$205,$B$7:$B$205,$B235)</f>
        <v/>
      </c>
      <c r="E235" s="7">
        <f>SUMIFS($E$7:$E$205,$B$7:$B$205,$B235)</f>
        <v/>
      </c>
      <c r="F235" s="7">
        <f>SUMIFS($F$7:$F$205,$B$7:$B$205,$B235)</f>
        <v/>
      </c>
      <c r="G235" s="7">
        <f>SUMIFS($G$7:$G$205,$B$7:$B$205,$B235)</f>
        <v/>
      </c>
      <c r="H235" s="7">
        <f>SUMIFS($H$7:$H$205,$B$7:$B$205,$B235)</f>
        <v/>
      </c>
    </row>
    <row r="236">
      <c r="A236" s="6" t="n"/>
      <c r="B236" s="6" t="inlineStr">
        <is>
          <t>A-PM PKNG HIGH_RISK</t>
        </is>
      </c>
      <c r="C236" s="6" t="n"/>
      <c r="D236" s="7">
        <f>SUMIFS($D$7:$D$205,$B$7:$B$205,$B236)</f>
        <v/>
      </c>
      <c r="E236" s="7">
        <f>SUMIFS($E$7:$E$205,$B$7:$B$205,$B236)</f>
        <v/>
      </c>
      <c r="F236" s="7">
        <f>SUMIFS($F$7:$F$205,$B$7:$B$205,$B236)</f>
        <v/>
      </c>
      <c r="G236" s="7">
        <f>SUMIFS($G$7:$G$205,$B$7:$B$205,$B236)</f>
        <v/>
      </c>
      <c r="H236" s="7">
        <f>SUMIFS($H$7:$H$205,$B$7:$B$205,$B236)</f>
        <v/>
      </c>
    </row>
    <row r="237">
      <c r="A237" s="6" t="n"/>
      <c r="B237" s="6" t="inlineStr">
        <is>
          <t>A-RS PKNG SLEEVING</t>
        </is>
      </c>
      <c r="C237" s="6" t="n"/>
      <c r="D237" s="7">
        <f>SUMIFS($D$7:$D$205,$B$7:$B$205,$B237)</f>
        <v/>
      </c>
      <c r="E237" s="7">
        <f>SUMIFS($E$7:$E$205,$B$7:$B$205,$B237)</f>
        <v/>
      </c>
      <c r="F237" s="7">
        <f>SUMIFS($F$7:$F$205,$B$7:$B$205,$B237)</f>
        <v/>
      </c>
      <c r="G237" s="7">
        <f>SUMIFS($G$7:$G$205,$B$7:$B$205,$B237)</f>
        <v/>
      </c>
      <c r="H237" s="7">
        <f>SUMIFS($H$7:$H$205,$B$7:$B$205,$B237)</f>
        <v/>
      </c>
    </row>
    <row r="238">
      <c r="A238" s="6" t="n"/>
      <c r="B238" s="6" t="inlineStr">
        <is>
          <t>A-RS PROD BELT</t>
        </is>
      </c>
      <c r="C238" s="6" t="n"/>
      <c r="D238" s="7">
        <f>SUMIFS($D$7:$D$205,$B$7:$B$205,$B238)</f>
        <v/>
      </c>
      <c r="E238" s="7">
        <f>SUMIFS($E$7:$E$205,$B$7:$B$205,$B238)</f>
        <v/>
      </c>
      <c r="F238" s="7">
        <f>SUMIFS($F$7:$F$205,$B$7:$B$205,$B238)</f>
        <v/>
      </c>
      <c r="G238" s="7">
        <f>SUMIFS($G$7:$G$205,$B$7:$B$205,$B238)</f>
        <v/>
      </c>
      <c r="H238" s="7">
        <f>SUMIFS($H$7:$H$205,$B$7:$B$205,$B238)</f>
        <v/>
      </c>
    </row>
    <row r="239">
      <c r="A239" s="6" t="n"/>
      <c r="B239" s="6" t="inlineStr">
        <is>
          <t>A-RS PROD FRYING</t>
        </is>
      </c>
      <c r="C239" s="6" t="n"/>
      <c r="D239" s="7">
        <f>SUMIFS($D$7:$D$205,$B$7:$B$205,$B239)</f>
        <v/>
      </c>
      <c r="E239" s="7">
        <f>SUMIFS($E$7:$E$205,$B$7:$B$205,$B239)</f>
        <v/>
      </c>
      <c r="F239" s="7">
        <f>SUMIFS($F$7:$F$205,$B$7:$B$205,$B239)</f>
        <v/>
      </c>
      <c r="G239" s="7">
        <f>SUMIFS($G$7:$G$205,$B$7:$B$205,$B239)</f>
        <v/>
      </c>
      <c r="H239" s="7">
        <f>SUMIFS($H$7:$H$205,$B$7:$B$205,$B239)</f>
        <v/>
      </c>
    </row>
    <row r="241">
      <c r="A241" s="3" t="inlineStr">
        <is>
          <t>Grouped totals (by category prefix)</t>
        </is>
      </c>
    </row>
    <row r="242">
      <c r="A242" s="4" t="inlineStr">
        <is>
          <t>Categories rolled up to 4-character groups.</t>
        </is>
      </c>
    </row>
    <row r="243">
      <c r="A243" s="5" t="n"/>
      <c r="B243" s="5" t="inlineStr">
        <is>
          <t>Category</t>
        </is>
      </c>
      <c r="C243" s="5" t="n"/>
      <c r="D243" s="5" t="inlineStr">
        <is>
          <t>Basic hours</t>
        </is>
      </c>
      <c r="E243" s="5" t="inlineStr">
        <is>
          <t>Mon–Fri overtime</t>
        </is>
      </c>
      <c r="F243" s="5" t="inlineStr">
        <is>
          <t>Sat/Sun overtime</t>
        </is>
      </c>
      <c r="G243" s="5" t="inlineStr">
        <is>
          <t>Annual holiday</t>
        </is>
      </c>
      <c r="H243" s="5" t="inlineStr">
        <is>
          <t>Total paid hours</t>
        </is>
      </c>
    </row>
    <row r="244">
      <c r="A244" s="6" t="n"/>
      <c r="B244" s="6" t="inlineStr">
        <is>
          <t>A-EL CLNR</t>
        </is>
      </c>
      <c r="C244" s="6" t="n"/>
      <c r="D244" s="7" t="n">
        <v>226.5</v>
      </c>
      <c r="E244" s="7" t="n">
        <v>5.75</v>
      </c>
      <c r="F244" s="7" t="n">
        <v>0</v>
      </c>
      <c r="G244" s="7" t="n">
        <v>0</v>
      </c>
      <c r="H244" s="7" t="n">
        <v>232.25</v>
      </c>
    </row>
    <row r="245">
      <c r="A245" s="6" t="n"/>
      <c r="B245" s="6" t="inlineStr">
        <is>
          <t>A-EL DPCH</t>
        </is>
      </c>
      <c r="C245" s="6" t="n"/>
      <c r="D245" s="7" t="n">
        <v>30.75</v>
      </c>
      <c r="E245" s="7" t="n">
        <v>7.5</v>
      </c>
      <c r="F245" s="7" t="n">
        <v>0</v>
      </c>
      <c r="G245" s="7" t="n">
        <v>0</v>
      </c>
      <c r="H245" s="7" t="n">
        <v>38.25</v>
      </c>
    </row>
    <row r="246">
      <c r="A246" s="6" t="n"/>
      <c r="B246" s="6" t="inlineStr">
        <is>
          <t>A-EL PKNG</t>
        </is>
      </c>
      <c r="C246" s="6" t="n"/>
      <c r="D246" s="7" t="n">
        <v>742.5</v>
      </c>
      <c r="E246" s="7" t="n">
        <v>22.25</v>
      </c>
      <c r="F246" s="7" t="n">
        <v>0</v>
      </c>
      <c r="G246" s="7" t="n">
        <v>0</v>
      </c>
      <c r="H246" s="7" t="n">
        <v>764.75</v>
      </c>
    </row>
    <row r="247">
      <c r="A247" s="6" t="n"/>
      <c r="B247" s="6" t="inlineStr">
        <is>
          <t>A-EL PROD</t>
        </is>
      </c>
      <c r="C247" s="6" t="n"/>
      <c r="D247" s="7" t="n">
        <v>909.25</v>
      </c>
      <c r="E247" s="7" t="n">
        <v>31.75</v>
      </c>
      <c r="F247" s="7" t="n">
        <v>0</v>
      </c>
      <c r="G247" s="7" t="n">
        <v>0</v>
      </c>
      <c r="H247" s="7" t="n">
        <v>941</v>
      </c>
    </row>
    <row r="248">
      <c r="A248" s="6" t="n"/>
      <c r="B248" s="6" t="inlineStr">
        <is>
          <t>A-EL TECH</t>
        </is>
      </c>
      <c r="C248" s="6" t="n"/>
      <c r="D248" s="7" t="n">
        <v>39.75</v>
      </c>
      <c r="E248" s="7" t="n">
        <v>0</v>
      </c>
      <c r="F248" s="7" t="n">
        <v>0</v>
      </c>
      <c r="G248" s="7" t="n">
        <v>0</v>
      </c>
      <c r="H248" s="7" t="n">
        <v>39.75</v>
      </c>
    </row>
    <row r="249">
      <c r="A249" s="6" t="n"/>
      <c r="B249" s="6" t="inlineStr">
        <is>
          <t>A-EL WRHS</t>
        </is>
      </c>
      <c r="C249" s="6" t="n"/>
      <c r="D249" s="7" t="n">
        <v>22.75</v>
      </c>
      <c r="E249" s="7" t="n">
        <v>0</v>
      </c>
      <c r="F249" s="7" t="n">
        <v>0</v>
      </c>
      <c r="G249" s="7" t="n">
        <v>0</v>
      </c>
      <c r="H249" s="7" t="n">
        <v>22.75</v>
      </c>
    </row>
    <row r="250">
      <c r="A250" s="6" t="n"/>
      <c r="B250" s="6" t="inlineStr">
        <is>
          <t>A-PM PKNG</t>
        </is>
      </c>
      <c r="C250" s="6" t="n"/>
      <c r="D250" s="7" t="n">
        <v>36</v>
      </c>
      <c r="E250" s="7" t="n">
        <v>7.75</v>
      </c>
      <c r="F250" s="7" t="n">
        <v>0</v>
      </c>
      <c r="G250" s="7" t="n">
        <v>0</v>
      </c>
      <c r="H250" s="7" t="n">
        <v>43.75</v>
      </c>
    </row>
    <row r="251">
      <c r="A251" s="6" t="n"/>
      <c r="B251" s="6" t="inlineStr">
        <is>
          <t>A-RS PKNG</t>
        </is>
      </c>
      <c r="C251" s="6" t="n"/>
      <c r="D251" s="7" t="n">
        <v>31</v>
      </c>
      <c r="E251" s="7" t="n">
        <v>0</v>
      </c>
      <c r="F251" s="7" t="n">
        <v>0</v>
      </c>
      <c r="G251" s="7" t="n">
        <v>0</v>
      </c>
      <c r="H251" s="7" t="n">
        <v>31</v>
      </c>
    </row>
    <row r="252">
      <c r="A252" s="6" t="n"/>
      <c r="B252" s="6" t="inlineStr">
        <is>
          <t>A-RS PROD</t>
        </is>
      </c>
      <c r="C252" s="6" t="n"/>
      <c r="D252" s="7" t="n">
        <v>41.5</v>
      </c>
      <c r="E252" s="7" t="n">
        <v>0</v>
      </c>
      <c r="F252" s="7" t="n">
        <v>0</v>
      </c>
      <c r="G252" s="7" t="n">
        <v>0</v>
      </c>
      <c r="H252" s="7" t="n">
        <v>41.5</v>
      </c>
    </row>
    <row r="253">
      <c r="A253" s="6" t="n"/>
      <c r="B253" s="6" t="inlineStr">
        <is>
          <t>CLNR</t>
        </is>
      </c>
      <c r="C253" s="6" t="n"/>
      <c r="D253" s="7" t="n">
        <v>199</v>
      </c>
      <c r="E253" s="7" t="n">
        <v>30</v>
      </c>
      <c r="F253" s="7" t="n">
        <v>8.25</v>
      </c>
      <c r="G253" s="7" t="n">
        <v>0</v>
      </c>
      <c r="H253" s="7" t="n">
        <v>237.25</v>
      </c>
    </row>
    <row r="254">
      <c r="A254" s="6" t="n"/>
      <c r="B254" s="6" t="inlineStr">
        <is>
          <t>DPCH</t>
        </is>
      </c>
      <c r="C254" s="6" t="n"/>
      <c r="D254" s="7" t="n">
        <v>41.25</v>
      </c>
      <c r="E254" s="7" t="n">
        <v>29</v>
      </c>
      <c r="F254" s="7" t="n">
        <v>0</v>
      </c>
      <c r="G254" s="7" t="n">
        <v>0</v>
      </c>
      <c r="H254" s="7" t="n">
        <v>70.25</v>
      </c>
    </row>
    <row r="255">
      <c r="A255" s="6" t="n"/>
      <c r="B255" s="6" t="inlineStr">
        <is>
          <t>OFCE</t>
        </is>
      </c>
      <c r="C255" s="6" t="n"/>
      <c r="D255" s="7" t="n">
        <v>467.5</v>
      </c>
      <c r="E255" s="7" t="n">
        <v>31.5</v>
      </c>
      <c r="F255" s="7" t="n">
        <v>0</v>
      </c>
      <c r="G255" s="7" t="n">
        <v>64</v>
      </c>
      <c r="H255" s="7" t="n">
        <v>563</v>
      </c>
    </row>
    <row r="256">
      <c r="A256" s="6" t="n"/>
      <c r="B256" s="6" t="inlineStr">
        <is>
          <t>PKNG</t>
        </is>
      </c>
      <c r="C256" s="6" t="n"/>
      <c r="D256" s="7" t="n">
        <v>701.75</v>
      </c>
      <c r="E256" s="7" t="n">
        <v>109.25</v>
      </c>
      <c r="F256" s="7" t="n">
        <v>0</v>
      </c>
      <c r="G256" s="7" t="n">
        <v>72</v>
      </c>
      <c r="H256" s="7" t="n">
        <v>883</v>
      </c>
    </row>
    <row r="257">
      <c r="A257" s="6" t="n"/>
      <c r="B257" s="6" t="inlineStr">
        <is>
          <t>PROD</t>
        </is>
      </c>
      <c r="C257" s="6" t="n"/>
      <c r="D257" s="7" t="n">
        <v>1390.5</v>
      </c>
      <c r="E257" s="7" t="n">
        <v>61</v>
      </c>
      <c r="F257" s="7" t="n">
        <v>0</v>
      </c>
      <c r="G257" s="7" t="n">
        <v>48</v>
      </c>
      <c r="H257" s="7" t="n">
        <v>1499.5</v>
      </c>
    </row>
    <row r="258">
      <c r="A258" s="6" t="n"/>
      <c r="B258" s="6" t="inlineStr">
        <is>
          <t>TECH</t>
        </is>
      </c>
      <c r="C258" s="6" t="n"/>
      <c r="D258" s="7" t="n">
        <v>193.5</v>
      </c>
      <c r="E258" s="7" t="n">
        <v>17</v>
      </c>
      <c r="F258" s="7" t="n">
        <v>0</v>
      </c>
      <c r="G258" s="7" t="n">
        <v>0</v>
      </c>
      <c r="H258" s="7" t="n">
        <v>210.5</v>
      </c>
    </row>
    <row r="259">
      <c r="A259" s="6" t="n"/>
      <c r="B259" s="6" t="inlineStr">
        <is>
          <t>WRHS</t>
        </is>
      </c>
      <c r="C259" s="6" t="n"/>
      <c r="D259" s="7" t="n">
        <v>139.75</v>
      </c>
      <c r="E259" s="7" t="n">
        <v>15.75</v>
      </c>
      <c r="F259" s="7" t="n">
        <v>8.25</v>
      </c>
      <c r="G259" s="7" t="n">
        <v>8</v>
      </c>
      <c r="H259" s="7" t="n">
        <v>171.75</v>
      </c>
    </row>
    <row r="261">
      <c r="A261" s="3" t="inlineStr">
        <is>
          <t>Gazebo vs agency summary</t>
        </is>
      </c>
    </row>
    <row r="262">
      <c r="A262" s="4" t="inlineStr">
        <is>
          <t>EMP = Gazebo staff; AGENCY = A- categories; TOTAL = both (formulas from employee table).</t>
        </is>
      </c>
    </row>
    <row r="263">
      <c r="B263" s="5" t="inlineStr">
        <is>
          <t>Category</t>
        </is>
      </c>
      <c r="C263" s="5" t="n"/>
      <c r="D263" s="5" t="inlineStr">
        <is>
          <t>Basic hours</t>
        </is>
      </c>
      <c r="E263" s="5" t="inlineStr">
        <is>
          <t>Mon–Fri overtime</t>
        </is>
      </c>
      <c r="F263" s="5" t="inlineStr">
        <is>
          <t>Sat/Sun overtime</t>
        </is>
      </c>
      <c r="G263" s="5" t="inlineStr">
        <is>
          <t>Annual holiday</t>
        </is>
      </c>
      <c r="H263" s="5" t="inlineStr">
        <is>
          <t>Total paid hours</t>
        </is>
      </c>
    </row>
    <row r="264">
      <c r="B264" s="6" t="n"/>
      <c r="C264" s="6" t="inlineStr">
        <is>
          <t>EMP</t>
        </is>
      </c>
      <c r="D264" s="7">
        <f>SUM($D$7:$D$205)-D265</f>
        <v/>
      </c>
      <c r="E264" s="7">
        <f>SUM($E$7:$E$205)-E265</f>
        <v/>
      </c>
      <c r="F264" s="7">
        <f>SUM($F$7:$F$205)-F265</f>
        <v/>
      </c>
      <c r="G264" s="7">
        <f>SUM($G$7:$G$205)-G265</f>
        <v/>
      </c>
      <c r="H264" s="7">
        <f>SUM($H$7:$H$205)-H265</f>
        <v/>
      </c>
    </row>
    <row r="265">
      <c r="B265" s="6" t="n"/>
      <c r="C265" s="6" t="inlineStr">
        <is>
          <t>AGENCY</t>
        </is>
      </c>
      <c r="D265" s="7">
        <f>SUMPRODUCT((LEFT($B$7:$B$205,2)="A-")*($D$7:$D$205))</f>
        <v/>
      </c>
      <c r="E265" s="7">
        <f>SUMPRODUCT((LEFT($B$7:$B$205,2)="A-")*($E$7:$E$205))</f>
        <v/>
      </c>
      <c r="F265" s="7">
        <f>SUMPRODUCT((LEFT($B$7:$B$205,2)="A-")*($F$7:$F$205))</f>
        <v/>
      </c>
      <c r="G265" s="7">
        <f>SUMPRODUCT((LEFT($B$7:$B$205,2)="A-")*($G$7:$G$205))</f>
        <v/>
      </c>
      <c r="H265" s="7">
        <f>SUMPRODUCT((LEFT($B$7:$B$205,2)="A-")*($H$7:$H$205))</f>
        <v/>
      </c>
    </row>
    <row r="266">
      <c r="B266" s="6" t="n"/>
      <c r="C266" s="6" t="inlineStr">
        <is>
          <t>TOTAL</t>
        </is>
      </c>
      <c r="D266" s="7">
        <f>D264+D265</f>
        <v/>
      </c>
      <c r="E266" s="7">
        <f>E264+E265</f>
        <v/>
      </c>
      <c r="F266" s="7">
        <f>F264+F265</f>
        <v/>
      </c>
      <c r="G266" s="7">
        <f>G264+G265</f>
        <v/>
      </c>
      <c r="H266" s="7">
        <f>H264+H265</f>
        <v/>
      </c>
    </row>
  </sheetData>
  <mergeCells count="12">
    <mergeCell ref="A1:H1"/>
    <mergeCell ref="A4:H4"/>
    <mergeCell ref="A262:H262"/>
    <mergeCell ref="A261:H261"/>
    <mergeCell ref="A211:H211"/>
    <mergeCell ref="A212:H212"/>
    <mergeCell ref="A2:H2"/>
    <mergeCell ref="A242:H242"/>
    <mergeCell ref="A207:H207"/>
    <mergeCell ref="A5:H5"/>
    <mergeCell ref="A208:H208"/>
    <mergeCell ref="A241:H2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Gazebo HR — Week 3</t>
        </is>
      </c>
    </row>
    <row r="2">
      <c r="A2" s="2" t="inlineStr">
        <is>
          <t>Period: D 04/05/2026 to D 10/05/2026</t>
        </is>
      </c>
    </row>
    <row r="4">
      <c r="A4" s="3" t="inlineStr">
        <is>
          <t>Week 3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</row>
    <row r="7">
      <c r="A7" s="6" t="inlineStr">
        <is>
          <t>K CARSANE</t>
        </is>
      </c>
      <c r="B7" s="6" t="inlineStr">
        <is>
          <t>CLNR</t>
        </is>
      </c>
      <c r="C7" s="7" t="n">
        <v>692</v>
      </c>
      <c r="D7" s="7" t="n">
        <v>33.25</v>
      </c>
      <c r="E7" s="7" t="n">
        <v>18</v>
      </c>
      <c r="F7" s="7" t="n">
        <v>0</v>
      </c>
      <c r="G7" s="7" t="n">
        <v>8</v>
      </c>
      <c r="H7" s="7" t="n">
        <v>59.25</v>
      </c>
    </row>
    <row r="8">
      <c r="A8" s="6" t="inlineStr">
        <is>
          <t>D GIVA</t>
        </is>
      </c>
      <c r="B8" s="6" t="inlineStr">
        <is>
          <t>CLNR</t>
        </is>
      </c>
      <c r="C8" s="7" t="n">
        <v>718</v>
      </c>
      <c r="D8" s="7" t="n">
        <v>33.25</v>
      </c>
      <c r="E8" s="7" t="n">
        <v>0.75</v>
      </c>
      <c r="F8" s="7" t="n">
        <v>5.5</v>
      </c>
      <c r="G8" s="7" t="n">
        <v>8</v>
      </c>
      <c r="H8" s="7" t="n">
        <v>47.5</v>
      </c>
    </row>
    <row r="9">
      <c r="A9" s="6" t="inlineStr">
        <is>
          <t>D KUMAR NARANBHAI RATHOD</t>
        </is>
      </c>
      <c r="B9" s="6" t="inlineStr">
        <is>
          <t>CLNR</t>
        </is>
      </c>
      <c r="C9" s="7" t="n">
        <v>629</v>
      </c>
      <c r="D9" s="7" t="n">
        <v>33.25</v>
      </c>
      <c r="E9" s="7" t="n">
        <v>7</v>
      </c>
      <c r="F9" s="7" t="n">
        <v>0</v>
      </c>
      <c r="G9" s="7" t="n">
        <v>8</v>
      </c>
      <c r="H9" s="7" t="n">
        <v>48.25</v>
      </c>
    </row>
    <row r="10">
      <c r="A10" s="6" t="inlineStr">
        <is>
          <t>D NATU</t>
        </is>
      </c>
      <c r="B10" s="6" t="inlineStr">
        <is>
          <t>CLNR</t>
        </is>
      </c>
      <c r="C10" s="7" t="n">
        <v>750</v>
      </c>
      <c r="D10" s="7" t="n">
        <v>33.25</v>
      </c>
      <c r="E10" s="7" t="n">
        <v>6.25</v>
      </c>
      <c r="F10" s="7" t="n">
        <v>6.75</v>
      </c>
      <c r="G10" s="7" t="n">
        <v>8</v>
      </c>
      <c r="H10" s="7" t="n">
        <v>54.25</v>
      </c>
    </row>
    <row r="11">
      <c r="A11" s="6" t="inlineStr">
        <is>
          <t>S NATU</t>
        </is>
      </c>
      <c r="B11" s="6" t="inlineStr">
        <is>
          <t>CLNR</t>
        </is>
      </c>
      <c r="C11" s="7" t="n">
        <v>579</v>
      </c>
      <c r="D11" s="7" t="n">
        <v>0</v>
      </c>
      <c r="E11" s="7" t="n">
        <v>10.25</v>
      </c>
      <c r="F11" s="7" t="n">
        <v>0</v>
      </c>
      <c r="G11" s="7" t="n">
        <v>8</v>
      </c>
      <c r="H11" s="7" t="n">
        <v>18.25</v>
      </c>
    </row>
    <row r="12">
      <c r="A12" s="6" t="inlineStr">
        <is>
          <t>T TIRKEY</t>
        </is>
      </c>
      <c r="B12" s="6" t="inlineStr">
        <is>
          <t>CLNR</t>
        </is>
      </c>
      <c r="C12" s="7" t="n">
        <v>506</v>
      </c>
      <c r="D12" s="7" t="n">
        <v>33.25</v>
      </c>
      <c r="E12" s="7" t="n">
        <v>15.25</v>
      </c>
      <c r="F12" s="7" t="n">
        <v>0</v>
      </c>
      <c r="G12" s="7" t="n">
        <v>8</v>
      </c>
      <c r="H12" s="7" t="n">
        <v>56.5</v>
      </c>
    </row>
    <row r="13">
      <c r="A13" s="6" t="inlineStr">
        <is>
          <t>U VINAYCHANDRA</t>
        </is>
      </c>
      <c r="B13" s="6" t="inlineStr">
        <is>
          <t>DPCH</t>
        </is>
      </c>
      <c r="C13" s="7" t="n">
        <v>426</v>
      </c>
      <c r="D13" s="7" t="n">
        <v>33.25</v>
      </c>
      <c r="E13" s="7" t="n">
        <v>34</v>
      </c>
      <c r="F13" s="7" t="n">
        <v>0</v>
      </c>
      <c r="G13" s="7" t="n">
        <v>8</v>
      </c>
      <c r="H13" s="7" t="n">
        <v>75.25</v>
      </c>
    </row>
    <row r="14">
      <c r="A14" s="6" t="inlineStr">
        <is>
          <t>S BHIMJI VAGADIYA</t>
        </is>
      </c>
      <c r="B14" s="6" t="inlineStr">
        <is>
          <t>OFCE</t>
        </is>
      </c>
      <c r="C14" s="7" t="n">
        <v>749</v>
      </c>
      <c r="D14" s="7" t="n">
        <v>16</v>
      </c>
      <c r="E14" s="7" t="n">
        <v>0</v>
      </c>
      <c r="F14" s="7" t="n">
        <v>0</v>
      </c>
      <c r="G14" s="7" t="n">
        <v>4</v>
      </c>
      <c r="H14" s="7" t="n">
        <v>20</v>
      </c>
    </row>
    <row r="15">
      <c r="A15" s="6" t="inlineStr">
        <is>
          <t>D DEVUSINH BAROT</t>
        </is>
      </c>
      <c r="B15" s="6" t="inlineStr">
        <is>
          <t>OFCE</t>
        </is>
      </c>
      <c r="C15" s="7" t="n">
        <v>752</v>
      </c>
      <c r="D15" s="7" t="n">
        <v>0</v>
      </c>
      <c r="E15" s="7" t="n">
        <v>0</v>
      </c>
      <c r="F15" s="7" t="n">
        <v>0</v>
      </c>
      <c r="G15" s="7" t="n">
        <v>16</v>
      </c>
      <c r="H15" s="7" t="n">
        <v>16</v>
      </c>
    </row>
    <row r="16">
      <c r="A16" s="6" t="inlineStr">
        <is>
          <t>B DIKER</t>
        </is>
      </c>
      <c r="B16" s="6" t="inlineStr">
        <is>
          <t>OFCE</t>
        </is>
      </c>
      <c r="C16" s="7" t="n">
        <v>747</v>
      </c>
      <c r="D16" s="7" t="n">
        <v>33.25</v>
      </c>
      <c r="E16" s="7" t="n">
        <v>16.25</v>
      </c>
      <c r="F16" s="7" t="n">
        <v>0</v>
      </c>
      <c r="G16" s="7" t="n">
        <v>8</v>
      </c>
      <c r="H16" s="7" t="n">
        <v>57.5</v>
      </c>
    </row>
    <row r="17">
      <c r="A17" s="6" t="inlineStr">
        <is>
          <t>U GOHEL</t>
        </is>
      </c>
      <c r="B17" s="6" t="inlineStr">
        <is>
          <t>OFCE</t>
        </is>
      </c>
      <c r="C17" s="7" t="n">
        <v>691</v>
      </c>
      <c r="D17" s="7" t="n">
        <v>0</v>
      </c>
      <c r="E17" s="7" t="n">
        <v>6.25</v>
      </c>
      <c r="F17" s="7" t="n">
        <v>0</v>
      </c>
      <c r="G17" s="7" t="n">
        <v>4</v>
      </c>
      <c r="H17" s="7" t="n">
        <v>10.25</v>
      </c>
    </row>
    <row r="18">
      <c r="A18" s="6" t="inlineStr">
        <is>
          <t>P LEITE</t>
        </is>
      </c>
      <c r="B18" s="6" t="inlineStr">
        <is>
          <t>OFCE</t>
        </is>
      </c>
      <c r="C18" s="7" t="n">
        <v>504</v>
      </c>
      <c r="D18" s="7" t="n">
        <v>33</v>
      </c>
      <c r="E18" s="7" t="n">
        <v>2.5</v>
      </c>
      <c r="F18" s="7" t="n">
        <v>0</v>
      </c>
      <c r="G18" s="7" t="n">
        <v>8</v>
      </c>
      <c r="H18" s="7" t="n">
        <v>43.5</v>
      </c>
    </row>
    <row r="19">
      <c r="A19" s="6" t="inlineStr">
        <is>
          <t>P MALIK</t>
        </is>
      </c>
      <c r="B19" s="6" t="inlineStr">
        <is>
          <t>OFCE</t>
        </is>
      </c>
      <c r="C19" s="7" t="n">
        <v>679</v>
      </c>
      <c r="D19" s="7" t="n">
        <v>0</v>
      </c>
      <c r="E19" s="7" t="n">
        <v>0</v>
      </c>
      <c r="F19" s="7" t="n">
        <v>0</v>
      </c>
      <c r="G19" s="7" t="n">
        <v>40</v>
      </c>
      <c r="H19" s="7" t="n">
        <v>40</v>
      </c>
    </row>
    <row r="20">
      <c r="A20" s="6" t="inlineStr">
        <is>
          <t>P PANDHARIPANDE</t>
        </is>
      </c>
      <c r="B20" s="6" t="inlineStr">
        <is>
          <t>OFCE</t>
        </is>
      </c>
      <c r="C20" s="7" t="n">
        <v>660</v>
      </c>
      <c r="D20" s="7" t="n">
        <v>33.25</v>
      </c>
      <c r="E20" s="7" t="n">
        <v>1</v>
      </c>
      <c r="F20" s="7" t="n">
        <v>0</v>
      </c>
      <c r="G20" s="7" t="n">
        <v>8</v>
      </c>
      <c r="H20" s="7" t="n">
        <v>42.25</v>
      </c>
    </row>
    <row r="21">
      <c r="A21" s="6" t="inlineStr">
        <is>
          <t>A PODDER</t>
        </is>
      </c>
      <c r="B21" s="6" t="inlineStr">
        <is>
          <t>OFCE</t>
        </is>
      </c>
      <c r="C21" s="7" t="n">
        <v>754</v>
      </c>
      <c r="D21" s="7" t="n">
        <v>33.25</v>
      </c>
      <c r="E21" s="7" t="n">
        <v>3.25</v>
      </c>
      <c r="F21" s="7" t="n">
        <v>0</v>
      </c>
      <c r="G21" s="7" t="n">
        <v>8</v>
      </c>
      <c r="H21" s="7" t="n">
        <v>44.5</v>
      </c>
    </row>
    <row r="22">
      <c r="A22" s="6" t="inlineStr">
        <is>
          <t>G RAMESH</t>
        </is>
      </c>
      <c r="B22" s="6" t="inlineStr">
        <is>
          <t>OFCE</t>
        </is>
      </c>
      <c r="C22" s="7" t="n">
        <v>737</v>
      </c>
      <c r="D22" s="7" t="n">
        <v>20</v>
      </c>
      <c r="E22" s="7" t="n">
        <v>0</v>
      </c>
      <c r="F22" s="7" t="n">
        <v>0</v>
      </c>
      <c r="G22" s="7" t="n">
        <v>4</v>
      </c>
      <c r="H22" s="7" t="n">
        <v>24</v>
      </c>
    </row>
    <row r="23">
      <c r="A23" s="6" t="inlineStr">
        <is>
          <t>P RAMNIK</t>
        </is>
      </c>
      <c r="B23" s="6" t="inlineStr">
        <is>
          <t>OFCE</t>
        </is>
      </c>
      <c r="C23" s="7" t="n">
        <v>753</v>
      </c>
      <c r="D23" s="7" t="n">
        <v>33.25</v>
      </c>
      <c r="E23" s="7" t="n">
        <v>2.25</v>
      </c>
      <c r="F23" s="7" t="n">
        <v>0</v>
      </c>
      <c r="G23" s="7" t="n">
        <v>8</v>
      </c>
      <c r="H23" s="7" t="n">
        <v>43.5</v>
      </c>
    </row>
    <row r="24">
      <c r="A24" s="6" t="inlineStr">
        <is>
          <t>A RATHOD</t>
        </is>
      </c>
      <c r="B24" s="6" t="inlineStr">
        <is>
          <t>OFCE</t>
        </is>
      </c>
      <c r="C24" s="7" t="n">
        <v>369</v>
      </c>
      <c r="D24" s="7" t="n">
        <v>30.75</v>
      </c>
      <c r="E24" s="7" t="n">
        <v>0</v>
      </c>
      <c r="F24" s="7" t="n">
        <v>0</v>
      </c>
      <c r="G24" s="7" t="n">
        <v>8</v>
      </c>
      <c r="H24" s="7" t="n">
        <v>38.75</v>
      </c>
    </row>
    <row r="25">
      <c r="A25" s="6" t="inlineStr">
        <is>
          <t>K RATHOD</t>
        </is>
      </c>
      <c r="B25" s="6" t="inlineStr">
        <is>
          <t>OFCE</t>
        </is>
      </c>
      <c r="C25" s="7" t="n">
        <v>727</v>
      </c>
      <c r="D25" s="7" t="n">
        <v>33.25</v>
      </c>
      <c r="E25" s="7" t="n">
        <v>4.5</v>
      </c>
      <c r="F25" s="7" t="n">
        <v>0</v>
      </c>
      <c r="G25" s="7" t="n">
        <v>8</v>
      </c>
      <c r="H25" s="7" t="n">
        <v>45.75</v>
      </c>
    </row>
    <row r="26">
      <c r="A26" s="6" t="inlineStr">
        <is>
          <t>D SHAH</t>
        </is>
      </c>
      <c r="B26" s="6" t="inlineStr">
        <is>
          <t>OFCE</t>
        </is>
      </c>
      <c r="C26" s="7" t="n">
        <v>429</v>
      </c>
      <c r="D26" s="7" t="n">
        <v>33.25</v>
      </c>
      <c r="E26" s="7" t="n">
        <v>8.5</v>
      </c>
      <c r="F26" s="7" t="n">
        <v>0</v>
      </c>
      <c r="G26" s="7" t="n">
        <v>8</v>
      </c>
      <c r="H26" s="7" t="n">
        <v>49.75</v>
      </c>
    </row>
    <row r="27">
      <c r="A27" s="6" t="inlineStr">
        <is>
          <t>T SINGH SEHDEV</t>
        </is>
      </c>
      <c r="B27" s="6" t="inlineStr">
        <is>
          <t>OFCE</t>
        </is>
      </c>
      <c r="C27" s="7" t="n">
        <v>522</v>
      </c>
      <c r="D27" s="7" t="n">
        <v>29.25</v>
      </c>
      <c r="E27" s="7" t="n">
        <v>9.25</v>
      </c>
      <c r="F27" s="7" t="n">
        <v>0</v>
      </c>
      <c r="G27" s="7" t="n">
        <v>12</v>
      </c>
      <c r="H27" s="7" t="n">
        <v>50.5</v>
      </c>
    </row>
    <row r="28">
      <c r="A28" s="6" t="inlineStr">
        <is>
          <t>B VANZA</t>
        </is>
      </c>
      <c r="B28" s="6" t="inlineStr">
        <is>
          <t>OFCE</t>
        </is>
      </c>
      <c r="C28" s="7" t="n">
        <v>161</v>
      </c>
      <c r="D28" s="7" t="n">
        <v>33.25</v>
      </c>
      <c r="E28" s="7" t="n">
        <v>2.25</v>
      </c>
      <c r="F28" s="7" t="n">
        <v>0</v>
      </c>
      <c r="G28" s="7" t="n">
        <v>8</v>
      </c>
      <c r="H28" s="7" t="n">
        <v>43.5</v>
      </c>
    </row>
    <row r="29">
      <c r="A29" s="6" t="inlineStr">
        <is>
          <t>A BHARATBHAI VASANI</t>
        </is>
      </c>
      <c r="B29" s="6" t="inlineStr">
        <is>
          <t>PKNG HIGH_RISK</t>
        </is>
      </c>
      <c r="C29" s="7" t="n">
        <v>707</v>
      </c>
      <c r="D29" s="7" t="n">
        <v>33.25</v>
      </c>
      <c r="E29" s="7" t="n">
        <v>13</v>
      </c>
      <c r="F29" s="7" t="n">
        <v>6.75</v>
      </c>
      <c r="G29" s="7" t="n">
        <v>8</v>
      </c>
      <c r="H29" s="7" t="n">
        <v>61</v>
      </c>
    </row>
    <row r="30">
      <c r="A30" s="6" t="inlineStr">
        <is>
          <t>R DA SILVA</t>
        </is>
      </c>
      <c r="B30" s="6" t="inlineStr">
        <is>
          <t>PKNG HIGH_RISK</t>
        </is>
      </c>
      <c r="C30" s="7" t="n">
        <v>713</v>
      </c>
      <c r="D30" s="7" t="n">
        <v>33.25</v>
      </c>
      <c r="E30" s="7" t="n">
        <v>3</v>
      </c>
      <c r="F30" s="7" t="n">
        <v>6.75</v>
      </c>
      <c r="G30" s="7" t="n">
        <v>8</v>
      </c>
      <c r="H30" s="7" t="n">
        <v>51</v>
      </c>
    </row>
    <row r="31">
      <c r="A31" s="6" t="inlineStr">
        <is>
          <t>F DHANGAR</t>
        </is>
      </c>
      <c r="B31" s="6" t="inlineStr">
        <is>
          <t>PKNG HIGH_RISK</t>
        </is>
      </c>
      <c r="C31" s="7" t="n">
        <v>637</v>
      </c>
      <c r="D31" s="7" t="n">
        <v>33.25</v>
      </c>
      <c r="E31" s="7" t="n">
        <v>16</v>
      </c>
      <c r="F31" s="7" t="n">
        <v>0</v>
      </c>
      <c r="G31" s="7" t="n">
        <v>8</v>
      </c>
      <c r="H31" s="7" t="n">
        <v>57.25</v>
      </c>
    </row>
    <row r="32">
      <c r="A32" s="6" t="inlineStr">
        <is>
          <t>D DIVYA</t>
        </is>
      </c>
      <c r="B32" s="6" t="inlineStr">
        <is>
          <t>PKNG HIGH_RISK</t>
        </is>
      </c>
      <c r="C32" s="7" t="n">
        <v>734</v>
      </c>
      <c r="D32" s="7" t="n">
        <v>33.25</v>
      </c>
      <c r="E32" s="7" t="n">
        <v>7.5</v>
      </c>
      <c r="F32" s="7" t="n">
        <v>0</v>
      </c>
      <c r="G32" s="7" t="n">
        <v>8</v>
      </c>
      <c r="H32" s="7" t="n">
        <v>48.75</v>
      </c>
    </row>
    <row r="33">
      <c r="A33" s="6" t="inlineStr">
        <is>
          <t>G GUNABHAI DEVANI</t>
        </is>
      </c>
      <c r="B33" s="6" t="inlineStr">
        <is>
          <t>PKNG HIGH_RISK</t>
        </is>
      </c>
      <c r="C33" s="7" t="n">
        <v>757</v>
      </c>
      <c r="D33" s="7" t="n">
        <v>31.5</v>
      </c>
      <c r="E33" s="7" t="n">
        <v>0</v>
      </c>
      <c r="F33" s="7" t="n">
        <v>0</v>
      </c>
      <c r="G33" s="7" t="n">
        <v>0</v>
      </c>
      <c r="H33" s="7" t="n">
        <v>31.5</v>
      </c>
    </row>
    <row r="34">
      <c r="A34" s="6" t="inlineStr">
        <is>
          <t>A KRANYIK</t>
        </is>
      </c>
      <c r="B34" s="6" t="inlineStr">
        <is>
          <t>PKNG HIGH_RISK</t>
        </is>
      </c>
      <c r="C34" s="7" t="n">
        <v>320</v>
      </c>
      <c r="D34" s="7" t="n">
        <v>33.25</v>
      </c>
      <c r="E34" s="7" t="n">
        <v>3.25</v>
      </c>
      <c r="F34" s="7" t="n">
        <v>0</v>
      </c>
      <c r="G34" s="7" t="n">
        <v>8</v>
      </c>
      <c r="H34" s="7" t="n">
        <v>44.5</v>
      </c>
    </row>
    <row r="35">
      <c r="A35" s="6" t="inlineStr">
        <is>
          <t>A MAENCAR</t>
        </is>
      </c>
      <c r="B35" s="6" t="inlineStr">
        <is>
          <t>PKNG HIGH_RISK</t>
        </is>
      </c>
      <c r="C35" s="7" t="n">
        <v>445</v>
      </c>
      <c r="D35" s="7" t="n">
        <v>0</v>
      </c>
      <c r="E35" s="7" t="n">
        <v>0</v>
      </c>
      <c r="F35" s="7" t="n">
        <v>0</v>
      </c>
      <c r="G35" s="7" t="n">
        <v>8</v>
      </c>
      <c r="H35" s="7" t="n">
        <v>8</v>
      </c>
    </row>
    <row r="36">
      <c r="A36" s="6" t="inlineStr">
        <is>
          <t>S PERUMAL MURTHI</t>
        </is>
      </c>
      <c r="B36" s="6" t="inlineStr">
        <is>
          <t>PKNG HIGH_RISK</t>
        </is>
      </c>
      <c r="C36" s="7" t="n">
        <v>751</v>
      </c>
      <c r="D36" s="7" t="n">
        <v>25.25</v>
      </c>
      <c r="E36" s="7" t="n">
        <v>4.75</v>
      </c>
      <c r="F36" s="7" t="n">
        <v>0</v>
      </c>
      <c r="G36" s="7" t="n">
        <v>16</v>
      </c>
      <c r="H36" s="7" t="n">
        <v>46</v>
      </c>
    </row>
    <row r="37">
      <c r="A37" s="6" t="inlineStr">
        <is>
          <t>N SOMA</t>
        </is>
      </c>
      <c r="B37" s="6" t="inlineStr">
        <is>
          <t>PKNG HIGH_RISK</t>
        </is>
      </c>
      <c r="C37" s="7" t="n">
        <v>724</v>
      </c>
      <c r="D37" s="7" t="n">
        <v>33.25</v>
      </c>
      <c r="E37" s="7" t="n">
        <v>7.25</v>
      </c>
      <c r="F37" s="7" t="n">
        <v>6.75</v>
      </c>
      <c r="G37" s="7" t="n">
        <v>8</v>
      </c>
      <c r="H37" s="7" t="n">
        <v>55.25</v>
      </c>
    </row>
    <row r="38">
      <c r="A38" s="6" t="inlineStr">
        <is>
          <t>R SUREXA NAIQUE</t>
        </is>
      </c>
      <c r="B38" s="6" t="inlineStr">
        <is>
          <t>PKNG HIGH_RISK</t>
        </is>
      </c>
      <c r="C38" s="7" t="n">
        <v>714</v>
      </c>
      <c r="D38" s="7" t="n">
        <v>33.25</v>
      </c>
      <c r="E38" s="7" t="n">
        <v>7</v>
      </c>
      <c r="F38" s="7" t="n">
        <v>0</v>
      </c>
      <c r="G38" s="7" t="n">
        <v>8</v>
      </c>
      <c r="H38" s="7" t="n">
        <v>48.25</v>
      </c>
    </row>
    <row r="39">
      <c r="A39" s="6" t="inlineStr">
        <is>
          <t>L XAVERINA LOPES</t>
        </is>
      </c>
      <c r="B39" s="6" t="inlineStr">
        <is>
          <t>PKNG HIGH_RISK</t>
        </is>
      </c>
      <c r="C39" s="7" t="n">
        <v>726</v>
      </c>
      <c r="D39" s="7" t="n">
        <v>33.25</v>
      </c>
      <c r="E39" s="7" t="n">
        <v>1.5</v>
      </c>
      <c r="F39" s="7" t="n">
        <v>0</v>
      </c>
      <c r="G39" s="7" t="n">
        <v>8</v>
      </c>
      <c r="H39" s="7" t="n">
        <v>42.75</v>
      </c>
    </row>
    <row r="40">
      <c r="A40" s="6" t="inlineStr">
        <is>
          <t>R BAGOANE</t>
        </is>
      </c>
      <c r="B40" s="6" t="inlineStr">
        <is>
          <t>PKNG SLEEVING</t>
        </is>
      </c>
      <c r="C40" s="7" t="n">
        <v>254</v>
      </c>
      <c r="D40" s="7" t="n">
        <v>33.25</v>
      </c>
      <c r="E40" s="7" t="n">
        <v>1.25</v>
      </c>
      <c r="F40" s="7" t="n">
        <v>0</v>
      </c>
      <c r="G40" s="7" t="n">
        <v>8</v>
      </c>
      <c r="H40" s="7" t="n">
        <v>42.5</v>
      </c>
    </row>
    <row r="41">
      <c r="A41" s="6" t="inlineStr">
        <is>
          <t>K CALA</t>
        </is>
      </c>
      <c r="B41" s="6" t="inlineStr">
        <is>
          <t>PKNG SLEEVING</t>
        </is>
      </c>
      <c r="C41" s="7" t="n">
        <v>392</v>
      </c>
      <c r="D41" s="7" t="n">
        <v>33.25</v>
      </c>
      <c r="E41" s="7" t="n">
        <v>4</v>
      </c>
      <c r="F41" s="7" t="n">
        <v>0</v>
      </c>
      <c r="G41" s="7" t="n">
        <v>8</v>
      </c>
      <c r="H41" s="7" t="n">
        <v>45.25</v>
      </c>
    </row>
    <row r="42">
      <c r="A42" s="6" t="inlineStr">
        <is>
          <t>T CANGI</t>
        </is>
      </c>
      <c r="B42" s="6" t="inlineStr">
        <is>
          <t>PKNG SLEEVING</t>
        </is>
      </c>
      <c r="C42" s="7" t="n">
        <v>687</v>
      </c>
      <c r="D42" s="7" t="n">
        <v>32.5</v>
      </c>
      <c r="E42" s="7" t="n">
        <v>0</v>
      </c>
      <c r="F42" s="7" t="n">
        <v>0</v>
      </c>
      <c r="G42" s="7" t="n">
        <v>8</v>
      </c>
      <c r="H42" s="7" t="n">
        <v>40.5</v>
      </c>
    </row>
    <row r="43">
      <c r="A43" s="6" t="inlineStr">
        <is>
          <t>J CARSANE</t>
        </is>
      </c>
      <c r="B43" s="6" t="inlineStr">
        <is>
          <t>PKNG SLEEVING</t>
        </is>
      </c>
      <c r="C43" s="7" t="n">
        <v>669</v>
      </c>
      <c r="D43" s="7" t="n">
        <v>33.25</v>
      </c>
      <c r="E43" s="7" t="n">
        <v>3.75</v>
      </c>
      <c r="F43" s="7" t="n">
        <v>0</v>
      </c>
      <c r="G43" s="7" t="n">
        <v>8</v>
      </c>
      <c r="H43" s="7" t="n">
        <v>45</v>
      </c>
    </row>
    <row r="44">
      <c r="A44" s="6" t="inlineStr">
        <is>
          <t>S DIAS</t>
        </is>
      </c>
      <c r="B44" s="6" t="inlineStr">
        <is>
          <t>PKNG SLEEVING</t>
        </is>
      </c>
      <c r="C44" s="7" t="n">
        <v>730</v>
      </c>
      <c r="D44" s="7" t="n">
        <v>33.25</v>
      </c>
      <c r="E44" s="7" t="n">
        <v>3.5</v>
      </c>
      <c r="F44" s="7" t="n">
        <v>0</v>
      </c>
      <c r="G44" s="7" t="n">
        <v>8</v>
      </c>
      <c r="H44" s="7" t="n">
        <v>44.75</v>
      </c>
    </row>
    <row r="45">
      <c r="A45" s="6" t="inlineStr">
        <is>
          <t>D MEGGI</t>
        </is>
      </c>
      <c r="B45" s="6" t="inlineStr">
        <is>
          <t>PKNG SLEEVING</t>
        </is>
      </c>
      <c r="C45" s="7" t="n">
        <v>387</v>
      </c>
      <c r="D45" s="7" t="n">
        <v>33.25</v>
      </c>
      <c r="E45" s="7" t="n">
        <v>3.75</v>
      </c>
      <c r="F45" s="7" t="n">
        <v>0</v>
      </c>
      <c r="G45" s="7" t="n">
        <v>8</v>
      </c>
      <c r="H45" s="7" t="n">
        <v>45</v>
      </c>
    </row>
    <row r="46">
      <c r="A46" s="6" t="inlineStr">
        <is>
          <t>V MUKESHBHAI PATEL</t>
        </is>
      </c>
      <c r="B46" s="6" t="inlineStr">
        <is>
          <t>PKNG SLEEVING</t>
        </is>
      </c>
      <c r="C46" s="7" t="n">
        <v>683</v>
      </c>
      <c r="D46" s="7" t="n">
        <v>33.25</v>
      </c>
      <c r="E46" s="7" t="n">
        <v>11.25</v>
      </c>
      <c r="F46" s="7" t="n">
        <v>0</v>
      </c>
      <c r="G46" s="7" t="n">
        <v>8</v>
      </c>
      <c r="H46" s="7" t="n">
        <v>52.5</v>
      </c>
    </row>
    <row r="47">
      <c r="A47" s="6" t="inlineStr">
        <is>
          <t>M PEMGI</t>
        </is>
      </c>
      <c r="B47" s="6" t="inlineStr">
        <is>
          <t>PKNG SLEEVING</t>
        </is>
      </c>
      <c r="C47" s="7" t="n">
        <v>681</v>
      </c>
      <c r="D47" s="7" t="n">
        <v>33.25</v>
      </c>
      <c r="E47" s="7" t="n">
        <v>3.75</v>
      </c>
      <c r="F47" s="7" t="n">
        <v>0</v>
      </c>
      <c r="G47" s="7" t="n">
        <v>8</v>
      </c>
      <c r="H47" s="7" t="n">
        <v>45</v>
      </c>
    </row>
    <row r="48">
      <c r="A48" s="6" t="inlineStr">
        <is>
          <t>V RAMJI</t>
        </is>
      </c>
      <c r="B48" s="6" t="inlineStr">
        <is>
          <t>PKNG SLEEVING</t>
        </is>
      </c>
      <c r="C48" s="7" t="n">
        <v>693</v>
      </c>
      <c r="D48" s="7" t="n">
        <v>30.75</v>
      </c>
      <c r="E48" s="7" t="n">
        <v>9.25</v>
      </c>
      <c r="F48" s="7" t="n">
        <v>0</v>
      </c>
      <c r="G48" s="7" t="n">
        <v>8</v>
      </c>
      <c r="H48" s="7" t="n">
        <v>48</v>
      </c>
    </row>
    <row r="49">
      <c r="A49" s="6" t="inlineStr">
        <is>
          <t>J SOMA CHAVDA</t>
        </is>
      </c>
      <c r="B49" s="6" t="inlineStr">
        <is>
          <t>PKNG SLEEVING</t>
        </is>
      </c>
      <c r="C49" s="7" t="n">
        <v>715</v>
      </c>
      <c r="D49" s="7" t="n">
        <v>33.25</v>
      </c>
      <c r="E49" s="7" t="n">
        <v>10.5</v>
      </c>
      <c r="F49" s="7" t="n">
        <v>0</v>
      </c>
      <c r="G49" s="7" t="n">
        <v>8</v>
      </c>
      <c r="H49" s="7" t="n">
        <v>51.75</v>
      </c>
    </row>
    <row r="50">
      <c r="A50" s="6" t="inlineStr">
        <is>
          <t>D TULSHIDAS</t>
        </is>
      </c>
      <c r="B50" s="6" t="inlineStr">
        <is>
          <t>PKNG SLEEVING</t>
        </is>
      </c>
      <c r="C50" s="7" t="n">
        <v>719</v>
      </c>
      <c r="D50" s="7" t="n">
        <v>33.25</v>
      </c>
      <c r="E50" s="7" t="n">
        <v>10.5</v>
      </c>
      <c r="F50" s="7" t="n">
        <v>0</v>
      </c>
      <c r="G50" s="7" t="n">
        <v>8</v>
      </c>
      <c r="H50" s="7" t="n">
        <v>51.75</v>
      </c>
    </row>
    <row r="51">
      <c r="A51" s="6" t="inlineStr">
        <is>
          <t>U BHARAT</t>
        </is>
      </c>
      <c r="B51" s="6" t="inlineStr">
        <is>
          <t>PROD BELT</t>
        </is>
      </c>
      <c r="C51" s="7" t="n">
        <v>646</v>
      </c>
      <c r="D51" s="7" t="n">
        <v>30.75</v>
      </c>
      <c r="E51" s="7" t="n">
        <v>0</v>
      </c>
      <c r="F51" s="7" t="n">
        <v>0</v>
      </c>
      <c r="G51" s="7" t="n">
        <v>8</v>
      </c>
      <c r="H51" s="7" t="n">
        <v>38.75</v>
      </c>
    </row>
    <row r="52">
      <c r="A52" s="6" t="inlineStr">
        <is>
          <t>A DANGAR</t>
        </is>
      </c>
      <c r="B52" s="6" t="inlineStr">
        <is>
          <t>PROD BELT</t>
        </is>
      </c>
      <c r="C52" s="7" t="n">
        <v>124</v>
      </c>
      <c r="D52" s="7" t="n">
        <v>27.5</v>
      </c>
      <c r="E52" s="7" t="n">
        <v>0</v>
      </c>
      <c r="F52" s="7" t="n">
        <v>0</v>
      </c>
      <c r="G52" s="7" t="n">
        <v>8</v>
      </c>
      <c r="H52" s="7" t="n">
        <v>35.5</v>
      </c>
    </row>
    <row r="53">
      <c r="A53" s="6" t="inlineStr">
        <is>
          <t>L DEVI THAPA</t>
        </is>
      </c>
      <c r="B53" s="6" t="inlineStr">
        <is>
          <t>PROD BELT</t>
        </is>
      </c>
      <c r="C53" s="7" t="n">
        <v>645</v>
      </c>
      <c r="D53" s="7" t="n">
        <v>29</v>
      </c>
      <c r="E53" s="7" t="n">
        <v>0</v>
      </c>
      <c r="F53" s="7" t="n">
        <v>0</v>
      </c>
      <c r="G53" s="7" t="n">
        <v>8</v>
      </c>
      <c r="H53" s="7" t="n">
        <v>37</v>
      </c>
    </row>
    <row r="54">
      <c r="A54" s="6" t="inlineStr">
        <is>
          <t>J DEVJI</t>
        </is>
      </c>
      <c r="B54" s="6" t="inlineStr">
        <is>
          <t>PROD BELT</t>
        </is>
      </c>
      <c r="C54" s="7" t="n">
        <v>662</v>
      </c>
      <c r="D54" s="7" t="n">
        <v>33.25</v>
      </c>
      <c r="E54" s="7" t="n">
        <v>1.25</v>
      </c>
      <c r="F54" s="7" t="n">
        <v>0</v>
      </c>
      <c r="G54" s="7" t="n">
        <v>8</v>
      </c>
      <c r="H54" s="7" t="n">
        <v>42.5</v>
      </c>
    </row>
    <row r="55">
      <c r="A55" s="6" t="inlineStr">
        <is>
          <t>L GIVA</t>
        </is>
      </c>
      <c r="B55" s="6" t="inlineStr">
        <is>
          <t>PROD BELT</t>
        </is>
      </c>
      <c r="C55" s="7" t="n">
        <v>584</v>
      </c>
      <c r="D55" s="7" t="n">
        <v>33.25</v>
      </c>
      <c r="E55" s="7" t="n">
        <v>4.5</v>
      </c>
      <c r="F55" s="7" t="n">
        <v>0</v>
      </c>
      <c r="G55" s="7" t="n">
        <v>8</v>
      </c>
      <c r="H55" s="7" t="n">
        <v>45.75</v>
      </c>
    </row>
    <row r="56">
      <c r="A56" s="6" t="inlineStr">
        <is>
          <t>B GURUNG</t>
        </is>
      </c>
      <c r="B56" s="6" t="inlineStr">
        <is>
          <t>PROD BELT</t>
        </is>
      </c>
      <c r="C56" s="7" t="n">
        <v>40</v>
      </c>
      <c r="D56" s="7" t="n">
        <v>33.25</v>
      </c>
      <c r="E56" s="7" t="n">
        <v>2.5</v>
      </c>
      <c r="F56" s="7" t="n">
        <v>0</v>
      </c>
      <c r="G56" s="7" t="n">
        <v>8</v>
      </c>
      <c r="H56" s="7" t="n">
        <v>43.75</v>
      </c>
    </row>
    <row r="57">
      <c r="A57" s="6" t="inlineStr">
        <is>
          <t>J KANJI</t>
        </is>
      </c>
      <c r="B57" s="6" t="inlineStr">
        <is>
          <t>PROD BELT</t>
        </is>
      </c>
      <c r="C57" s="7" t="n">
        <v>756</v>
      </c>
      <c r="D57" s="7" t="n">
        <v>20</v>
      </c>
      <c r="E57" s="7" t="n">
        <v>0</v>
      </c>
      <c r="F57" s="7" t="n">
        <v>0</v>
      </c>
      <c r="G57" s="7" t="n">
        <v>0</v>
      </c>
      <c r="H57" s="7" t="n">
        <v>20</v>
      </c>
    </row>
    <row r="58">
      <c r="A58" s="6" t="inlineStr">
        <is>
          <t>E KECZAN</t>
        </is>
      </c>
      <c r="B58" s="6" t="inlineStr">
        <is>
          <t>PROD BELT</t>
        </is>
      </c>
      <c r="C58" s="7" t="n">
        <v>204</v>
      </c>
      <c r="D58" s="7" t="n">
        <v>33.25</v>
      </c>
      <c r="E58" s="7" t="n">
        <v>1</v>
      </c>
      <c r="F58" s="7" t="n">
        <v>0</v>
      </c>
      <c r="G58" s="7" t="n">
        <v>8</v>
      </c>
      <c r="H58" s="7" t="n">
        <v>42.25</v>
      </c>
    </row>
    <row r="59">
      <c r="A59" s="6" t="inlineStr">
        <is>
          <t>M MAHENDRA</t>
        </is>
      </c>
      <c r="B59" s="6" t="inlineStr">
        <is>
          <t>PROD BELT</t>
        </is>
      </c>
      <c r="C59" s="7" t="n">
        <v>746</v>
      </c>
      <c r="D59" s="7" t="n">
        <v>26.5</v>
      </c>
      <c r="E59" s="7" t="n">
        <v>0</v>
      </c>
      <c r="F59" s="7" t="n">
        <v>0</v>
      </c>
      <c r="G59" s="7" t="n">
        <v>8</v>
      </c>
      <c r="H59" s="7" t="n">
        <v>34.5</v>
      </c>
    </row>
    <row r="60">
      <c r="A60" s="6" t="inlineStr">
        <is>
          <t>V PATEL</t>
        </is>
      </c>
      <c r="B60" s="6" t="inlineStr">
        <is>
          <t>PROD BELT</t>
        </is>
      </c>
      <c r="C60" s="7" t="n">
        <v>18</v>
      </c>
      <c r="D60" s="7" t="n">
        <v>23</v>
      </c>
      <c r="E60" s="7" t="n">
        <v>0</v>
      </c>
      <c r="F60" s="7" t="n">
        <v>0</v>
      </c>
      <c r="G60" s="7" t="n">
        <v>8</v>
      </c>
      <c r="H60" s="7" t="n">
        <v>31</v>
      </c>
    </row>
    <row r="61">
      <c r="A61" s="6" t="inlineStr">
        <is>
          <t>V PILLAIYANAR</t>
        </is>
      </c>
      <c r="B61" s="6" t="inlineStr">
        <is>
          <t>PROD BELT</t>
        </is>
      </c>
      <c r="C61" s="7" t="n">
        <v>150</v>
      </c>
      <c r="D61" s="7" t="n">
        <v>29.75</v>
      </c>
      <c r="E61" s="7" t="n">
        <v>0</v>
      </c>
      <c r="F61" s="7" t="n">
        <v>3.5</v>
      </c>
      <c r="G61" s="7" t="n">
        <v>8</v>
      </c>
      <c r="H61" s="7" t="n">
        <v>41.25</v>
      </c>
    </row>
    <row r="62">
      <c r="A62" s="6" t="inlineStr">
        <is>
          <t>D RAJA</t>
        </is>
      </c>
      <c r="B62" s="6" t="inlineStr">
        <is>
          <t>PROD BELT</t>
        </is>
      </c>
      <c r="C62" s="7" t="n">
        <v>550</v>
      </c>
      <c r="D62" s="7" t="n">
        <v>26.75</v>
      </c>
      <c r="E62" s="7" t="n">
        <v>0</v>
      </c>
      <c r="F62" s="7" t="n">
        <v>0</v>
      </c>
      <c r="G62" s="7" t="n">
        <v>8</v>
      </c>
      <c r="H62" s="7" t="n">
        <v>34.75</v>
      </c>
    </row>
    <row r="63">
      <c r="A63" s="6" t="inlineStr">
        <is>
          <t>U RAMESH</t>
        </is>
      </c>
      <c r="B63" s="6" t="inlineStr">
        <is>
          <t>PROD BELT</t>
        </is>
      </c>
      <c r="C63" s="7" t="n">
        <v>733</v>
      </c>
      <c r="D63" s="7" t="n">
        <v>0</v>
      </c>
      <c r="E63" s="7" t="n">
        <v>0</v>
      </c>
      <c r="F63" s="7" t="n">
        <v>0</v>
      </c>
      <c r="G63" s="7" t="n">
        <v>8</v>
      </c>
      <c r="H63" s="7" t="n">
        <v>8</v>
      </c>
    </row>
    <row r="64">
      <c r="A64" s="6" t="inlineStr">
        <is>
          <t>U SHRESTHA</t>
        </is>
      </c>
      <c r="B64" s="6" t="inlineStr">
        <is>
          <t>PROD BELT</t>
        </is>
      </c>
      <c r="C64" s="7" t="n">
        <v>330</v>
      </c>
      <c r="D64" s="7" t="n">
        <v>33.25</v>
      </c>
      <c r="E64" s="7" t="n">
        <v>1.25</v>
      </c>
      <c r="F64" s="7" t="n">
        <v>0</v>
      </c>
      <c r="G64" s="7" t="n">
        <v>8</v>
      </c>
      <c r="H64" s="7" t="n">
        <v>42.5</v>
      </c>
    </row>
    <row r="65">
      <c r="A65" s="6" t="inlineStr">
        <is>
          <t>A THAKKAR</t>
        </is>
      </c>
      <c r="B65" s="6" t="inlineStr">
        <is>
          <t>PROD BELT</t>
        </is>
      </c>
      <c r="C65" s="7" t="n">
        <v>50</v>
      </c>
      <c r="D65" s="7" t="n">
        <v>33.25</v>
      </c>
      <c r="E65" s="7" t="n">
        <v>2.25</v>
      </c>
      <c r="F65" s="7" t="n">
        <v>0</v>
      </c>
      <c r="G65" s="7" t="n">
        <v>8</v>
      </c>
      <c r="H65" s="7" t="n">
        <v>43.5</v>
      </c>
    </row>
    <row r="66">
      <c r="A66" s="6" t="inlineStr">
        <is>
          <t>N UCARO</t>
        </is>
      </c>
      <c r="B66" s="6" t="inlineStr">
        <is>
          <t>PROD BELT</t>
        </is>
      </c>
      <c r="C66" s="7" t="n">
        <v>663</v>
      </c>
      <c r="D66" s="7" t="n">
        <v>33.25</v>
      </c>
      <c r="E66" s="7" t="n">
        <v>1.5</v>
      </c>
      <c r="F66" s="7" t="n">
        <v>0</v>
      </c>
      <c r="G66" s="7" t="n">
        <v>8</v>
      </c>
      <c r="H66" s="7" t="n">
        <v>42.75</v>
      </c>
    </row>
    <row r="67">
      <c r="A67" s="6" t="inlineStr">
        <is>
          <t>H BHAGVAN</t>
        </is>
      </c>
      <c r="B67" s="6" t="inlineStr">
        <is>
          <t>PROD FORMING</t>
        </is>
      </c>
      <c r="C67" s="7" t="n">
        <v>741</v>
      </c>
      <c r="D67" s="7" t="n">
        <v>33.25</v>
      </c>
      <c r="E67" s="7" t="n">
        <v>5.75</v>
      </c>
      <c r="F67" s="7" t="n">
        <v>3.25</v>
      </c>
      <c r="G67" s="7" t="n">
        <v>8</v>
      </c>
      <c r="H67" s="7" t="n">
        <v>50.25</v>
      </c>
    </row>
    <row r="68">
      <c r="A68" s="6" t="inlineStr">
        <is>
          <t>H CALA</t>
        </is>
      </c>
      <c r="B68" s="6" t="inlineStr">
        <is>
          <t>PROD FORMING</t>
        </is>
      </c>
      <c r="C68" s="7" t="n">
        <v>606</v>
      </c>
      <c r="D68" s="7" t="n">
        <v>33.25</v>
      </c>
      <c r="E68" s="7" t="n">
        <v>0.25</v>
      </c>
      <c r="F68" s="7" t="n">
        <v>2.75</v>
      </c>
      <c r="G68" s="7" t="n">
        <v>8</v>
      </c>
      <c r="H68" s="7" t="n">
        <v>44.25</v>
      </c>
    </row>
    <row r="69">
      <c r="A69" s="6" t="inlineStr">
        <is>
          <t>A CARVALHO</t>
        </is>
      </c>
      <c r="B69" s="6" t="inlineStr">
        <is>
          <t>PROD FORMING</t>
        </is>
      </c>
      <c r="C69" s="7" t="n">
        <v>444</v>
      </c>
      <c r="D69" s="7" t="n">
        <v>33.25</v>
      </c>
      <c r="E69" s="7" t="n">
        <v>9.75</v>
      </c>
      <c r="F69" s="7" t="n">
        <v>0</v>
      </c>
      <c r="G69" s="7" t="n">
        <v>8</v>
      </c>
      <c r="H69" s="7" t="n">
        <v>51</v>
      </c>
    </row>
    <row r="70">
      <c r="A70" s="6" t="inlineStr">
        <is>
          <t>U HARJI</t>
        </is>
      </c>
      <c r="B70" s="6" t="inlineStr">
        <is>
          <t>PROD FORMING</t>
        </is>
      </c>
      <c r="C70" s="7" t="n">
        <v>739</v>
      </c>
      <c r="D70" s="7" t="n">
        <v>32</v>
      </c>
      <c r="E70" s="7" t="n">
        <v>0</v>
      </c>
      <c r="F70" s="7" t="n">
        <v>0</v>
      </c>
      <c r="G70" s="7" t="n">
        <v>8</v>
      </c>
      <c r="H70" s="7" t="n">
        <v>40</v>
      </c>
    </row>
    <row r="71">
      <c r="A71" s="6" t="inlineStr">
        <is>
          <t>B NARSINH VAISHYA</t>
        </is>
      </c>
      <c r="B71" s="6" t="inlineStr">
        <is>
          <t>PROD FORMING</t>
        </is>
      </c>
      <c r="C71" s="7" t="n">
        <v>738</v>
      </c>
      <c r="D71" s="7" t="n">
        <v>33.25</v>
      </c>
      <c r="E71" s="7" t="n">
        <v>0</v>
      </c>
      <c r="F71" s="7" t="n">
        <v>0</v>
      </c>
      <c r="G71" s="7" t="n">
        <v>8</v>
      </c>
      <c r="H71" s="7" t="n">
        <v>41.25</v>
      </c>
    </row>
    <row r="72">
      <c r="A72" s="6" t="inlineStr">
        <is>
          <t>S VARJANGUE</t>
        </is>
      </c>
      <c r="B72" s="6" t="inlineStr">
        <is>
          <t>PROD FORMING</t>
        </is>
      </c>
      <c r="C72" s="7" t="n">
        <v>528</v>
      </c>
      <c r="D72" s="7" t="n">
        <v>33.25</v>
      </c>
      <c r="E72" s="7" t="n">
        <v>5.75</v>
      </c>
      <c r="F72" s="7" t="n">
        <v>3.25</v>
      </c>
      <c r="G72" s="7" t="n">
        <v>8</v>
      </c>
      <c r="H72" s="7" t="n">
        <v>50.25</v>
      </c>
    </row>
    <row r="73">
      <c r="A73" s="6" t="inlineStr">
        <is>
          <t>A AKRITI</t>
        </is>
      </c>
      <c r="B73" s="6" t="inlineStr">
        <is>
          <t>PROD FRYING</t>
        </is>
      </c>
      <c r="C73" s="7" t="n">
        <v>709</v>
      </c>
      <c r="D73" s="7" t="n">
        <v>32.5</v>
      </c>
      <c r="E73" s="7" t="n">
        <v>0</v>
      </c>
      <c r="F73" s="7" t="n">
        <v>0</v>
      </c>
      <c r="G73" s="7" t="n">
        <v>8</v>
      </c>
      <c r="H73" s="7" t="n">
        <v>40.5</v>
      </c>
    </row>
    <row r="74">
      <c r="A74" s="6" t="inlineStr">
        <is>
          <t>R BAHADUR BHANDARI</t>
        </is>
      </c>
      <c r="B74" s="6" t="inlineStr">
        <is>
          <t>PROD FRYING</t>
        </is>
      </c>
      <c r="C74" s="7" t="n">
        <v>700</v>
      </c>
      <c r="D74" s="7" t="n">
        <v>33.25</v>
      </c>
      <c r="E74" s="7" t="n">
        <v>15.5</v>
      </c>
      <c r="F74" s="7" t="n">
        <v>0</v>
      </c>
      <c r="G74" s="7" t="n">
        <v>8</v>
      </c>
      <c r="H74" s="7" t="n">
        <v>56.75</v>
      </c>
    </row>
    <row r="75">
      <c r="A75" s="6" t="inlineStr">
        <is>
          <t>P BAHADUR JIREL</t>
        </is>
      </c>
      <c r="B75" s="6" t="inlineStr">
        <is>
          <t>PROD FRYING</t>
        </is>
      </c>
      <c r="C75" s="7" t="n">
        <v>578</v>
      </c>
      <c r="D75" s="7" t="n">
        <v>0</v>
      </c>
      <c r="E75" s="7" t="n">
        <v>0</v>
      </c>
      <c r="F75" s="7" t="n">
        <v>0</v>
      </c>
      <c r="G75" s="7" t="n">
        <v>8</v>
      </c>
      <c r="H75" s="7" t="n">
        <v>8</v>
      </c>
    </row>
    <row r="76">
      <c r="A76" s="6" t="inlineStr">
        <is>
          <t>L BUTIENE</t>
        </is>
      </c>
      <c r="B76" s="6" t="inlineStr">
        <is>
          <t>PROD FRYING</t>
        </is>
      </c>
      <c r="C76" s="7" t="n">
        <v>21</v>
      </c>
      <c r="D76" s="7" t="n">
        <v>29.5</v>
      </c>
      <c r="E76" s="7" t="n">
        <v>0</v>
      </c>
      <c r="F76" s="7" t="n">
        <v>0</v>
      </c>
      <c r="G76" s="7" t="n">
        <v>8</v>
      </c>
      <c r="H76" s="7" t="n">
        <v>37.5</v>
      </c>
    </row>
    <row r="77">
      <c r="A77" s="6" t="inlineStr">
        <is>
          <t>J HANSRAJBHAI VAGHASIYA</t>
        </is>
      </c>
      <c r="B77" s="6" t="inlineStr">
        <is>
          <t>PROD FRYING</t>
        </is>
      </c>
      <c r="C77" s="7" t="n">
        <v>740</v>
      </c>
      <c r="D77" s="7" t="n">
        <v>33.25</v>
      </c>
      <c r="E77" s="7" t="n">
        <v>4.25</v>
      </c>
      <c r="F77" s="7" t="n">
        <v>0</v>
      </c>
      <c r="G77" s="7" t="n">
        <v>8</v>
      </c>
      <c r="H77" s="7" t="n">
        <v>45.5</v>
      </c>
    </row>
    <row r="78">
      <c r="A78" s="6" t="inlineStr">
        <is>
          <t>C MONIZ</t>
        </is>
      </c>
      <c r="B78" s="6" t="inlineStr">
        <is>
          <t>PROD FRYING</t>
        </is>
      </c>
      <c r="C78" s="7" t="n">
        <v>755</v>
      </c>
      <c r="D78" s="7" t="n">
        <v>26.5</v>
      </c>
      <c r="E78" s="7" t="n">
        <v>0</v>
      </c>
      <c r="F78" s="7" t="n">
        <v>0</v>
      </c>
      <c r="G78" s="7" t="n">
        <v>0</v>
      </c>
      <c r="H78" s="7" t="n">
        <v>26.5</v>
      </c>
    </row>
    <row r="79">
      <c r="A79" s="6" t="inlineStr">
        <is>
          <t>D RAMA</t>
        </is>
      </c>
      <c r="B79" s="6" t="inlineStr">
        <is>
          <t>PROD FRYING</t>
        </is>
      </c>
      <c r="C79" s="7" t="n">
        <v>708</v>
      </c>
      <c r="D79" s="7" t="n">
        <v>33.25</v>
      </c>
      <c r="E79" s="7" t="n">
        <v>4.5</v>
      </c>
      <c r="F79" s="7" t="n">
        <v>3.5</v>
      </c>
      <c r="G79" s="7" t="n">
        <v>8</v>
      </c>
      <c r="H79" s="7" t="n">
        <v>49.25</v>
      </c>
    </row>
    <row r="80">
      <c r="A80" s="6" t="inlineStr">
        <is>
          <t>S RAMJI</t>
        </is>
      </c>
      <c r="B80" s="6" t="inlineStr">
        <is>
          <t>PROD FRYING</t>
        </is>
      </c>
      <c r="C80" s="7" t="n">
        <v>742</v>
      </c>
      <c r="D80" s="7" t="n">
        <v>33.25</v>
      </c>
      <c r="E80" s="7" t="n">
        <v>5.75</v>
      </c>
      <c r="F80" s="7" t="n">
        <v>3.5</v>
      </c>
      <c r="G80" s="7" t="n">
        <v>8</v>
      </c>
      <c r="H80" s="7" t="n">
        <v>50.5</v>
      </c>
    </row>
    <row r="81">
      <c r="A81" s="6" t="inlineStr">
        <is>
          <t>S ADHIKARI KARKI</t>
        </is>
      </c>
      <c r="B81" s="6" t="inlineStr">
        <is>
          <t>PROD PREPARATION</t>
        </is>
      </c>
      <c r="C81" s="7" t="n">
        <v>736</v>
      </c>
      <c r="D81" s="7" t="n">
        <v>0</v>
      </c>
      <c r="E81" s="7" t="n">
        <v>0</v>
      </c>
      <c r="F81" s="7" t="n">
        <v>0</v>
      </c>
      <c r="G81" s="7" t="n">
        <v>8</v>
      </c>
      <c r="H81" s="7" t="n">
        <v>8</v>
      </c>
    </row>
    <row r="82">
      <c r="A82" s="6" t="inlineStr">
        <is>
          <t>P CANGI</t>
        </is>
      </c>
      <c r="B82" s="6" t="inlineStr">
        <is>
          <t>PROD PREPARATION</t>
        </is>
      </c>
      <c r="C82" s="7" t="n">
        <v>483</v>
      </c>
      <c r="D82" s="7" t="n">
        <v>31</v>
      </c>
      <c r="E82" s="7" t="n">
        <v>0</v>
      </c>
      <c r="F82" s="7" t="n">
        <v>0</v>
      </c>
      <c r="G82" s="7" t="n">
        <v>8</v>
      </c>
      <c r="H82" s="7" t="n">
        <v>39</v>
      </c>
    </row>
    <row r="83">
      <c r="A83" s="6" t="inlineStr">
        <is>
          <t>R FRANCISCO FERNANDES</t>
        </is>
      </c>
      <c r="B83" s="6" t="inlineStr">
        <is>
          <t>PROD PREPARATION</t>
        </is>
      </c>
      <c r="C83" s="7" t="n">
        <v>613</v>
      </c>
      <c r="D83" s="7" t="n">
        <v>33.25</v>
      </c>
      <c r="E83" s="7" t="n">
        <v>10.75</v>
      </c>
      <c r="F83" s="7" t="n">
        <v>4</v>
      </c>
      <c r="G83" s="7" t="n">
        <v>8</v>
      </c>
      <c r="H83" s="7" t="n">
        <v>56</v>
      </c>
    </row>
    <row r="84">
      <c r="A84" s="6" t="inlineStr">
        <is>
          <t>Y JAGDISH</t>
        </is>
      </c>
      <c r="B84" s="6" t="inlineStr">
        <is>
          <t>PROD PREPARATION</t>
        </is>
      </c>
      <c r="C84" s="7" t="n">
        <v>745</v>
      </c>
      <c r="D84" s="7" t="n">
        <v>33.25</v>
      </c>
      <c r="E84" s="7" t="n">
        <v>9</v>
      </c>
      <c r="F84" s="7" t="n">
        <v>4</v>
      </c>
      <c r="G84" s="7" t="n">
        <v>8</v>
      </c>
      <c r="H84" s="7" t="n">
        <v>54.25</v>
      </c>
    </row>
    <row r="85">
      <c r="A85" s="6" t="inlineStr">
        <is>
          <t>C JOAO DA SILVA</t>
        </is>
      </c>
      <c r="B85" s="6" t="inlineStr">
        <is>
          <t>PROD PREPARATION</t>
        </is>
      </c>
      <c r="C85" s="7" t="n">
        <v>627</v>
      </c>
      <c r="D85" s="7" t="n">
        <v>33.25</v>
      </c>
      <c r="E85" s="7" t="n">
        <v>10</v>
      </c>
      <c r="F85" s="7" t="n">
        <v>4</v>
      </c>
      <c r="G85" s="7" t="n">
        <v>8</v>
      </c>
      <c r="H85" s="7" t="n">
        <v>55.25</v>
      </c>
    </row>
    <row r="86">
      <c r="A86" s="6" t="inlineStr">
        <is>
          <t>E KACZMAREK</t>
        </is>
      </c>
      <c r="B86" s="6" t="inlineStr">
        <is>
          <t>PROD PREPARATION</t>
        </is>
      </c>
      <c r="C86" s="7" t="n">
        <v>263</v>
      </c>
      <c r="D86" s="7" t="n">
        <v>33.25</v>
      </c>
      <c r="E86" s="7" t="n">
        <v>4.25</v>
      </c>
      <c r="F86" s="7" t="n">
        <v>0</v>
      </c>
      <c r="G86" s="7" t="n">
        <v>8</v>
      </c>
      <c r="H86" s="7" t="n">
        <v>45.5</v>
      </c>
    </row>
    <row r="87">
      <c r="A87" s="6" t="inlineStr">
        <is>
          <t>F MINGUEL</t>
        </is>
      </c>
      <c r="B87" s="6" t="inlineStr">
        <is>
          <t>PROD PREPARATION</t>
        </is>
      </c>
      <c r="C87" s="7" t="n">
        <v>485</v>
      </c>
      <c r="D87" s="7" t="n">
        <v>33.25</v>
      </c>
      <c r="E87" s="7" t="n">
        <v>11</v>
      </c>
      <c r="F87" s="7" t="n">
        <v>0</v>
      </c>
      <c r="G87" s="7" t="n">
        <v>8</v>
      </c>
      <c r="H87" s="7" t="n">
        <v>52.25</v>
      </c>
    </row>
    <row r="88">
      <c r="A88" s="6" t="inlineStr">
        <is>
          <t>L PEREIRA</t>
        </is>
      </c>
      <c r="B88" s="6" t="inlineStr">
        <is>
          <t>PROD PREPARATION</t>
        </is>
      </c>
      <c r="C88" s="7" t="n">
        <v>583</v>
      </c>
      <c r="D88" s="7" t="n">
        <v>33.25</v>
      </c>
      <c r="E88" s="7" t="n">
        <v>8.75</v>
      </c>
      <c r="F88" s="7" t="n">
        <v>4</v>
      </c>
      <c r="G88" s="7" t="n">
        <v>8</v>
      </c>
      <c r="H88" s="7" t="n">
        <v>54</v>
      </c>
    </row>
    <row r="89">
      <c r="A89" s="6" t="inlineStr">
        <is>
          <t>A SILVA</t>
        </is>
      </c>
      <c r="B89" s="6" t="inlineStr">
        <is>
          <t>PROD PREPARATION</t>
        </is>
      </c>
      <c r="C89" s="7" t="n">
        <v>546</v>
      </c>
      <c r="D89" s="7" t="n">
        <v>33.25</v>
      </c>
      <c r="E89" s="7" t="n">
        <v>12.75</v>
      </c>
      <c r="F89" s="7" t="n">
        <v>4</v>
      </c>
      <c r="G89" s="7" t="n">
        <v>8</v>
      </c>
      <c r="H89" s="7" t="n">
        <v>58</v>
      </c>
    </row>
    <row r="90">
      <c r="A90" s="6" t="inlineStr">
        <is>
          <t>G SINGH</t>
        </is>
      </c>
      <c r="B90" s="6" t="inlineStr">
        <is>
          <t>PROD PREPARATION</t>
        </is>
      </c>
      <c r="C90" s="7" t="n">
        <v>675</v>
      </c>
      <c r="D90" s="7" t="n">
        <v>0</v>
      </c>
      <c r="E90" s="7" t="n">
        <v>0</v>
      </c>
      <c r="F90" s="7" t="n">
        <v>0</v>
      </c>
      <c r="G90" s="7" t="n">
        <v>40</v>
      </c>
      <c r="H90" s="7" t="n">
        <v>40</v>
      </c>
    </row>
    <row r="91">
      <c r="A91" s="6" t="inlineStr">
        <is>
          <t>R VIRA</t>
        </is>
      </c>
      <c r="B91" s="6" t="inlineStr">
        <is>
          <t>PROD PREPARATION</t>
        </is>
      </c>
      <c r="C91" s="7" t="n">
        <v>728</v>
      </c>
      <c r="D91" s="7" t="n">
        <v>33.25</v>
      </c>
      <c r="E91" s="7" t="n">
        <v>11</v>
      </c>
      <c r="F91" s="7" t="n">
        <v>2.5</v>
      </c>
      <c r="G91" s="7" t="n">
        <v>8</v>
      </c>
      <c r="H91" s="7" t="n">
        <v>54.75</v>
      </c>
    </row>
    <row r="92">
      <c r="A92" s="6" t="inlineStr">
        <is>
          <t>M HIMANSHU</t>
        </is>
      </c>
      <c r="B92" s="6" t="inlineStr">
        <is>
          <t>PROD TABLE</t>
        </is>
      </c>
      <c r="C92" s="7" t="n">
        <v>702</v>
      </c>
      <c r="D92" s="7" t="n">
        <v>0</v>
      </c>
      <c r="E92" s="7" t="n">
        <v>0</v>
      </c>
      <c r="F92" s="7" t="n">
        <v>0</v>
      </c>
      <c r="G92" s="7" t="n">
        <v>8</v>
      </c>
      <c r="H92" s="7" t="n">
        <v>8</v>
      </c>
    </row>
    <row r="93">
      <c r="A93" s="6" t="inlineStr">
        <is>
          <t>B IRA</t>
        </is>
      </c>
      <c r="B93" s="6" t="inlineStr">
        <is>
          <t>PROD TABLE</t>
        </is>
      </c>
      <c r="C93" s="7" t="n">
        <v>703</v>
      </c>
      <c r="D93" s="7" t="n">
        <v>26.5</v>
      </c>
      <c r="E93" s="7" t="n">
        <v>0</v>
      </c>
      <c r="F93" s="7" t="n">
        <v>0</v>
      </c>
      <c r="G93" s="7" t="n">
        <v>8</v>
      </c>
      <c r="H93" s="7" t="n">
        <v>34.5</v>
      </c>
    </row>
    <row r="94">
      <c r="A94" s="6" t="inlineStr">
        <is>
          <t>S JIREL</t>
        </is>
      </c>
      <c r="B94" s="6" t="inlineStr">
        <is>
          <t>PROD TABLE</t>
        </is>
      </c>
      <c r="C94" s="7" t="n">
        <v>711</v>
      </c>
      <c r="D94" s="7" t="n">
        <v>15.75</v>
      </c>
      <c r="E94" s="7" t="n">
        <v>0</v>
      </c>
      <c r="F94" s="7" t="n">
        <v>0</v>
      </c>
      <c r="G94" s="7" t="n">
        <v>8</v>
      </c>
      <c r="H94" s="7" t="n">
        <v>23.75</v>
      </c>
    </row>
    <row r="95">
      <c r="A95" s="6" t="inlineStr">
        <is>
          <t>P LACMANE</t>
        </is>
      </c>
      <c r="B95" s="6" t="inlineStr">
        <is>
          <t>PROD TABLE</t>
        </is>
      </c>
      <c r="C95" s="7" t="n">
        <v>440</v>
      </c>
      <c r="D95" s="7" t="n">
        <v>33.25</v>
      </c>
      <c r="E95" s="7" t="n">
        <v>1.75</v>
      </c>
      <c r="F95" s="7" t="n">
        <v>0</v>
      </c>
      <c r="G95" s="7" t="n">
        <v>8</v>
      </c>
      <c r="H95" s="7" t="n">
        <v>43</v>
      </c>
    </row>
    <row r="96">
      <c r="A96" s="6" t="inlineStr">
        <is>
          <t>R RATNA</t>
        </is>
      </c>
      <c r="B96" s="6" t="inlineStr">
        <is>
          <t>PROD TABLE</t>
        </is>
      </c>
      <c r="C96" s="7" t="n">
        <v>615</v>
      </c>
      <c r="D96" s="7" t="n">
        <v>33.25</v>
      </c>
      <c r="E96" s="7" t="n">
        <v>1.5</v>
      </c>
      <c r="F96" s="7" t="n">
        <v>0</v>
      </c>
      <c r="G96" s="7" t="n">
        <v>8</v>
      </c>
      <c r="H96" s="7" t="n">
        <v>42.75</v>
      </c>
    </row>
    <row r="97">
      <c r="A97" s="6" t="inlineStr">
        <is>
          <t>L SHAVJI</t>
        </is>
      </c>
      <c r="B97" s="6" t="inlineStr">
        <is>
          <t>PROD TABLE</t>
        </is>
      </c>
      <c r="C97" s="7" t="n">
        <v>699</v>
      </c>
      <c r="D97" s="7" t="n">
        <v>33.25</v>
      </c>
      <c r="E97" s="7" t="n">
        <v>1.5</v>
      </c>
      <c r="F97" s="7" t="n">
        <v>0</v>
      </c>
      <c r="G97" s="7" t="n">
        <v>8</v>
      </c>
      <c r="H97" s="7" t="n">
        <v>42.75</v>
      </c>
    </row>
    <row r="98">
      <c r="A98" s="6" t="inlineStr">
        <is>
          <t>B TEJESKUMAR</t>
        </is>
      </c>
      <c r="B98" s="6" t="inlineStr">
        <is>
          <t>PROD TABLE</t>
        </is>
      </c>
      <c r="C98" s="7" t="n">
        <v>722</v>
      </c>
      <c r="D98" s="7" t="n">
        <v>20.5</v>
      </c>
      <c r="E98" s="7" t="n">
        <v>0</v>
      </c>
      <c r="F98" s="7" t="n">
        <v>0</v>
      </c>
      <c r="G98" s="7" t="n">
        <v>8</v>
      </c>
      <c r="H98" s="7" t="n">
        <v>28.5</v>
      </c>
    </row>
    <row r="99">
      <c r="A99" s="6" t="inlineStr">
        <is>
          <t>M VAHORA</t>
        </is>
      </c>
      <c r="B99" s="6" t="inlineStr">
        <is>
          <t>PROD TABLE</t>
        </is>
      </c>
      <c r="C99" s="7" t="n">
        <v>414</v>
      </c>
      <c r="D99" s="7" t="n">
        <v>28.25</v>
      </c>
      <c r="E99" s="7" t="n">
        <v>0</v>
      </c>
      <c r="F99" s="7" t="n">
        <v>0</v>
      </c>
      <c r="G99" s="7" t="n">
        <v>8</v>
      </c>
      <c r="H99" s="7" t="n">
        <v>36.25</v>
      </c>
    </row>
    <row r="100">
      <c r="A100" s="6" t="inlineStr">
        <is>
          <t>A ALI  SALLAM</t>
        </is>
      </c>
      <c r="B100" s="6" t="inlineStr">
        <is>
          <t>TECH TECHNICAL</t>
        </is>
      </c>
      <c r="C100" s="7" t="n">
        <v>523</v>
      </c>
      <c r="D100" s="7" t="n">
        <v>33.25</v>
      </c>
      <c r="E100" s="7" t="n">
        <v>0.25</v>
      </c>
      <c r="F100" s="7" t="n">
        <v>0</v>
      </c>
      <c r="G100" s="7" t="n">
        <v>8</v>
      </c>
      <c r="H100" s="7" t="n">
        <v>41.5</v>
      </c>
    </row>
    <row r="101">
      <c r="A101" s="6" t="inlineStr">
        <is>
          <t>P KAUR</t>
        </is>
      </c>
      <c r="B101" s="6" t="inlineStr">
        <is>
          <t>TECH TECHNICAL</t>
        </is>
      </c>
      <c r="C101" s="7" t="n">
        <v>417</v>
      </c>
      <c r="D101" s="7" t="n">
        <v>33.25</v>
      </c>
      <c r="E101" s="7" t="n">
        <v>12.75</v>
      </c>
      <c r="F101" s="7" t="n">
        <v>0</v>
      </c>
      <c r="G101" s="7" t="n">
        <v>8</v>
      </c>
      <c r="H101" s="7" t="n">
        <v>54</v>
      </c>
    </row>
    <row r="102">
      <c r="A102" s="6" t="inlineStr">
        <is>
          <t>J PATEL</t>
        </is>
      </c>
      <c r="B102" s="6" t="inlineStr">
        <is>
          <t>TECH TECHNICAL</t>
        </is>
      </c>
      <c r="C102" s="7" t="n">
        <v>678</v>
      </c>
      <c r="D102" s="7" t="n">
        <v>33.25</v>
      </c>
      <c r="E102" s="7" t="n">
        <v>8</v>
      </c>
      <c r="F102" s="7" t="n">
        <v>0</v>
      </c>
      <c r="G102" s="7" t="n">
        <v>8</v>
      </c>
      <c r="H102" s="7" t="n">
        <v>49.25</v>
      </c>
    </row>
    <row r="103">
      <c r="A103" s="6" t="inlineStr">
        <is>
          <t>H R DOMADIYA</t>
        </is>
      </c>
      <c r="B103" s="6" t="inlineStr">
        <is>
          <t>TECH TECHNICAL</t>
        </is>
      </c>
      <c r="C103" s="7" t="n">
        <v>682</v>
      </c>
      <c r="D103" s="7" t="n">
        <v>33.25</v>
      </c>
      <c r="E103" s="7" t="n">
        <v>12.5</v>
      </c>
      <c r="F103" s="7" t="n">
        <v>0</v>
      </c>
      <c r="G103" s="7" t="n">
        <v>8</v>
      </c>
      <c r="H103" s="7" t="n">
        <v>53.75</v>
      </c>
    </row>
    <row r="104">
      <c r="A104" s="6" t="inlineStr">
        <is>
          <t>M SHAH</t>
        </is>
      </c>
      <c r="B104" s="6" t="inlineStr">
        <is>
          <t>TECH TECHNICAL</t>
        </is>
      </c>
      <c r="C104" s="7" t="n">
        <v>308</v>
      </c>
      <c r="D104" s="7" t="n">
        <v>24.5</v>
      </c>
      <c r="E104" s="7" t="n">
        <v>0</v>
      </c>
      <c r="F104" s="7" t="n">
        <v>0</v>
      </c>
      <c r="G104" s="7" t="n">
        <v>8</v>
      </c>
      <c r="H104" s="7" t="n">
        <v>32.5</v>
      </c>
    </row>
    <row r="105">
      <c r="A105" s="6" t="inlineStr">
        <is>
          <t>A AMIT</t>
        </is>
      </c>
      <c r="B105" s="6" t="inlineStr">
        <is>
          <t>WRHS</t>
        </is>
      </c>
      <c r="C105" s="7" t="n">
        <v>674</v>
      </c>
      <c r="D105" s="7" t="n">
        <v>33.25</v>
      </c>
      <c r="E105" s="7" t="n">
        <v>14.25</v>
      </c>
      <c r="F105" s="7" t="n">
        <v>8.75</v>
      </c>
      <c r="G105" s="7" t="n">
        <v>8</v>
      </c>
      <c r="H105" s="7" t="n">
        <v>64.25</v>
      </c>
    </row>
    <row r="106">
      <c r="A106" s="6" t="inlineStr">
        <is>
          <t>W GRZEGORZ KOPACZ</t>
        </is>
      </c>
      <c r="B106" s="6" t="inlineStr">
        <is>
          <t>WRHS</t>
        </is>
      </c>
      <c r="C106" s="7" t="n">
        <v>592</v>
      </c>
      <c r="D106" s="7" t="n">
        <v>27.5</v>
      </c>
      <c r="E106" s="7" t="n">
        <v>0</v>
      </c>
      <c r="F106" s="7" t="n">
        <v>7.5</v>
      </c>
      <c r="G106" s="7" t="n">
        <v>8</v>
      </c>
      <c r="H106" s="7" t="n">
        <v>43</v>
      </c>
    </row>
    <row r="107">
      <c r="A107" s="6" t="inlineStr">
        <is>
          <t>A SAHOTA</t>
        </is>
      </c>
      <c r="B107" s="6" t="inlineStr">
        <is>
          <t>WRHS</t>
        </is>
      </c>
      <c r="C107" s="7" t="n">
        <v>680</v>
      </c>
      <c r="D107" s="7" t="n">
        <v>33.25</v>
      </c>
      <c r="E107" s="7" t="n">
        <v>18.5</v>
      </c>
      <c r="F107" s="7" t="n">
        <v>8.75</v>
      </c>
      <c r="G107" s="7" t="n">
        <v>8</v>
      </c>
      <c r="H107" s="7" t="n">
        <v>68.5</v>
      </c>
    </row>
    <row r="108">
      <c r="A108" s="6" t="inlineStr">
        <is>
          <t>S SUBRAMANI</t>
        </is>
      </c>
      <c r="B108" s="6" t="inlineStr">
        <is>
          <t>WRHS</t>
        </is>
      </c>
      <c r="C108" s="7" t="n">
        <v>205</v>
      </c>
      <c r="D108" s="7" t="n">
        <v>22.75</v>
      </c>
      <c r="E108" s="7" t="n">
        <v>0</v>
      </c>
      <c r="F108" s="7" t="n">
        <v>7.75</v>
      </c>
      <c r="G108" s="7" t="n">
        <v>8</v>
      </c>
      <c r="H108" s="7" t="n">
        <v>38.5</v>
      </c>
    </row>
    <row r="109">
      <c r="A109" s="6" t="inlineStr">
        <is>
          <t>R BABU EOLL</t>
        </is>
      </c>
      <c r="B109" s="6" t="inlineStr">
        <is>
          <t>A-EL CLNR</t>
        </is>
      </c>
      <c r="C109" s="7" t="n">
        <v>0</v>
      </c>
      <c r="D109" s="7" t="n">
        <v>34</v>
      </c>
      <c r="E109" s="7" t="n">
        <v>0</v>
      </c>
      <c r="F109" s="7" t="n">
        <v>5.25</v>
      </c>
      <c r="G109" s="7" t="n">
        <v>0</v>
      </c>
      <c r="H109" s="7" t="n">
        <v>39.25</v>
      </c>
    </row>
    <row r="110">
      <c r="A110" s="6" t="inlineStr">
        <is>
          <t>D BAMANIA EOLL</t>
        </is>
      </c>
      <c r="B110" s="6" t="inlineStr">
        <is>
          <t>A-EL CLNR</t>
        </is>
      </c>
      <c r="C110" s="7" t="n">
        <v>0</v>
      </c>
      <c r="D110" s="7" t="n">
        <v>39.25</v>
      </c>
      <c r="E110" s="7" t="n">
        <v>8.5</v>
      </c>
      <c r="F110" s="7" t="n">
        <v>0</v>
      </c>
      <c r="G110" s="7" t="n">
        <v>0</v>
      </c>
      <c r="H110" s="7" t="n">
        <v>47.75</v>
      </c>
    </row>
    <row r="111">
      <c r="A111" s="6" t="inlineStr">
        <is>
          <t>S CHAGANA EOLL</t>
        </is>
      </c>
      <c r="B111" s="6" t="inlineStr">
        <is>
          <t>A-EL CLNR</t>
        </is>
      </c>
      <c r="C111" s="7" t="n">
        <v>0</v>
      </c>
      <c r="D111" s="7" t="n">
        <v>36.5</v>
      </c>
      <c r="E111" s="7" t="n">
        <v>8.5</v>
      </c>
      <c r="F111" s="7" t="n">
        <v>0</v>
      </c>
      <c r="G111" s="7" t="n">
        <v>0</v>
      </c>
      <c r="H111" s="7" t="n">
        <v>45</v>
      </c>
    </row>
    <row r="112">
      <c r="A112" s="6" t="inlineStr">
        <is>
          <t>K NATVAR EOLL</t>
        </is>
      </c>
      <c r="B112" s="6" t="inlineStr">
        <is>
          <t>A-EL CLNR</t>
        </is>
      </c>
      <c r="C112" s="7" t="n">
        <v>0</v>
      </c>
      <c r="D112" s="7" t="n">
        <v>39.25</v>
      </c>
      <c r="E112" s="7" t="n">
        <v>8.5</v>
      </c>
      <c r="F112" s="7" t="n">
        <v>0</v>
      </c>
      <c r="G112" s="7" t="n">
        <v>0</v>
      </c>
      <c r="H112" s="7" t="n">
        <v>47.75</v>
      </c>
    </row>
    <row r="113">
      <c r="A113" s="6" t="inlineStr">
        <is>
          <t>L SOMA EOLL</t>
        </is>
      </c>
      <c r="B113" s="6" t="inlineStr">
        <is>
          <t>A-EL CLNR</t>
        </is>
      </c>
      <c r="C113" s="7" t="n">
        <v>0</v>
      </c>
      <c r="D113" s="7" t="n">
        <v>35.5</v>
      </c>
      <c r="E113" s="7" t="n">
        <v>0</v>
      </c>
      <c r="F113" s="7" t="n">
        <v>0</v>
      </c>
      <c r="G113" s="7" t="n">
        <v>0</v>
      </c>
      <c r="H113" s="7" t="n">
        <v>35.5</v>
      </c>
    </row>
    <row r="114">
      <c r="A114" s="6" t="inlineStr">
        <is>
          <t>D VIRA EOLL</t>
        </is>
      </c>
      <c r="B114" s="6" t="inlineStr">
        <is>
          <t>A-EL CLNR</t>
        </is>
      </c>
      <c r="C114" s="7" t="n">
        <v>0</v>
      </c>
      <c r="D114" s="7" t="n">
        <v>34</v>
      </c>
      <c r="E114" s="7" t="n">
        <v>0</v>
      </c>
      <c r="F114" s="7" t="n">
        <v>5.5</v>
      </c>
      <c r="G114" s="7" t="n">
        <v>0</v>
      </c>
      <c r="H114" s="7" t="n">
        <v>39.5</v>
      </c>
    </row>
    <row r="115">
      <c r="A115" s="6" t="inlineStr">
        <is>
          <t>A VIRA EOLL</t>
        </is>
      </c>
      <c r="B115" s="6" t="inlineStr">
        <is>
          <t>A-EL DPCH</t>
        </is>
      </c>
      <c r="C115" s="7" t="n">
        <v>0</v>
      </c>
      <c r="D115" s="7" t="n">
        <v>32.5</v>
      </c>
      <c r="E115" s="7" t="n">
        <v>0</v>
      </c>
      <c r="F115" s="7" t="n">
        <v>0</v>
      </c>
      <c r="G115" s="7" t="n">
        <v>0</v>
      </c>
      <c r="H115" s="7" t="n">
        <v>32.5</v>
      </c>
    </row>
    <row r="116">
      <c r="A116" s="6" t="inlineStr">
        <is>
          <t>K BHALALA EOLL</t>
        </is>
      </c>
      <c r="B116" s="6" t="inlineStr">
        <is>
          <t>A-EL PKNG HIGH_RISK</t>
        </is>
      </c>
      <c r="C116" s="7" t="n">
        <v>0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</row>
    <row r="117">
      <c r="A117" s="6" t="inlineStr">
        <is>
          <t>S BIPINBHAI DOBARIYA EOLL</t>
        </is>
      </c>
      <c r="B117" s="6" t="inlineStr">
        <is>
          <t>A-EL PKNG HIGH_RISK</t>
        </is>
      </c>
      <c r="C117" s="7" t="n">
        <v>0</v>
      </c>
      <c r="D117" s="7" t="n">
        <v>7.5</v>
      </c>
      <c r="E117" s="7" t="n">
        <v>0</v>
      </c>
      <c r="F117" s="7" t="n">
        <v>0</v>
      </c>
      <c r="G117" s="7" t="n">
        <v>0</v>
      </c>
      <c r="H117" s="7" t="n">
        <v>7.5</v>
      </c>
    </row>
    <row r="118">
      <c r="A118" s="6" t="inlineStr">
        <is>
          <t>H CHAGAN EOLL</t>
        </is>
      </c>
      <c r="B118" s="6" t="inlineStr">
        <is>
          <t>A-EL PKNG HIGH_RISK</t>
        </is>
      </c>
      <c r="C118" s="7" t="n">
        <v>0</v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</row>
    <row r="119">
      <c r="A119" s="6" t="inlineStr">
        <is>
          <t>A CHOTALA EOLL</t>
        </is>
      </c>
      <c r="B119" s="6" t="inlineStr">
        <is>
          <t>A-EL PKNG HIGH_RISK</t>
        </is>
      </c>
      <c r="C119" s="7" t="n">
        <v>0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</row>
    <row r="120">
      <c r="A120" s="6" t="inlineStr">
        <is>
          <t>M CORREIA EOLL</t>
        </is>
      </c>
      <c r="B120" s="6" t="inlineStr">
        <is>
          <t>A-EL PKNG HIGH_RISK</t>
        </is>
      </c>
      <c r="C120" s="7" t="n">
        <v>0</v>
      </c>
      <c r="D120" s="7" t="n">
        <v>36.25</v>
      </c>
      <c r="E120" s="7" t="n">
        <v>0</v>
      </c>
      <c r="F120" s="7" t="n">
        <v>0</v>
      </c>
      <c r="G120" s="7" t="n">
        <v>0</v>
      </c>
      <c r="H120" s="7" t="n">
        <v>36.25</v>
      </c>
    </row>
    <row r="121">
      <c r="A121" s="6" t="inlineStr">
        <is>
          <t>R DEVJI BAMANIA EOLL</t>
        </is>
      </c>
      <c r="B121" s="6" t="inlineStr">
        <is>
          <t>A-EL PKNG HIGH_RISK</t>
        </is>
      </c>
      <c r="C121" s="7" t="n">
        <v>0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</row>
    <row r="122">
      <c r="A122" s="6" t="inlineStr">
        <is>
          <t>P DONGA EOLL</t>
        </is>
      </c>
      <c r="B122" s="6" t="inlineStr">
        <is>
          <t>A-EL PKNG HIGH_RISK</t>
        </is>
      </c>
      <c r="C122" s="7" t="n">
        <v>0</v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</row>
    <row r="123">
      <c r="A123" s="6" t="inlineStr">
        <is>
          <t>M GOVIND EOLL</t>
        </is>
      </c>
      <c r="B123" s="6" t="inlineStr">
        <is>
          <t>A-EL PKNG HIGH_RISK</t>
        </is>
      </c>
      <c r="C123" s="7" t="n">
        <v>0</v>
      </c>
      <c r="D123" s="7" t="n">
        <v>38</v>
      </c>
      <c r="E123" s="7" t="n">
        <v>0</v>
      </c>
      <c r="F123" s="7" t="n">
        <v>0</v>
      </c>
      <c r="G123" s="7" t="n">
        <v>0</v>
      </c>
      <c r="H123" s="7" t="n">
        <v>38</v>
      </c>
    </row>
    <row r="124">
      <c r="A124" s="6" t="inlineStr">
        <is>
          <t>G GUNABHAI DEVANI EOLL</t>
        </is>
      </c>
      <c r="B124" s="6" t="inlineStr">
        <is>
          <t>A-EL PKNG HIGH_RISK</t>
        </is>
      </c>
      <c r="C124" s="7" t="n">
        <v>0</v>
      </c>
      <c r="D124" s="7" t="n">
        <v>7.5</v>
      </c>
      <c r="E124" s="7" t="n">
        <v>0</v>
      </c>
      <c r="F124" s="7" t="n">
        <v>0</v>
      </c>
      <c r="G124" s="7" t="n">
        <v>0</v>
      </c>
      <c r="H124" s="7" t="n">
        <v>7.5</v>
      </c>
    </row>
    <row r="125">
      <c r="A125" s="6" t="inlineStr">
        <is>
          <t>K HASMUKHBHAI CHATALIYA EOLL</t>
        </is>
      </c>
      <c r="B125" s="6" t="inlineStr">
        <is>
          <t>A-EL PKNG HIGH_RISK</t>
        </is>
      </c>
      <c r="C125" s="7" t="n">
        <v>0</v>
      </c>
      <c r="D125" s="7" t="n">
        <v>7.25</v>
      </c>
      <c r="E125" s="7" t="n">
        <v>0</v>
      </c>
      <c r="F125" s="7" t="n">
        <v>0</v>
      </c>
      <c r="G125" s="7" t="n">
        <v>0</v>
      </c>
      <c r="H125" s="7" t="n">
        <v>7.25</v>
      </c>
    </row>
    <row r="126">
      <c r="A126" s="6" t="inlineStr">
        <is>
          <t>S JASOHIYA EOLL</t>
        </is>
      </c>
      <c r="B126" s="6" t="inlineStr">
        <is>
          <t>A-EL PKNG HIGH_RISK</t>
        </is>
      </c>
      <c r="C126" s="7" t="n">
        <v>0</v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</v>
      </c>
    </row>
    <row r="127">
      <c r="A127" s="6" t="inlineStr">
        <is>
          <t>H KHUNT EOLL</t>
        </is>
      </c>
      <c r="B127" s="6" t="inlineStr">
        <is>
          <t>A-EL PKNG HIGH_RISK</t>
        </is>
      </c>
      <c r="C127" s="7" t="n">
        <v>0</v>
      </c>
      <c r="D127" s="7" t="n">
        <v>41.25</v>
      </c>
      <c r="E127" s="7" t="n">
        <v>0.75</v>
      </c>
      <c r="F127" s="7" t="n">
        <v>6.5</v>
      </c>
      <c r="G127" s="7" t="n">
        <v>0</v>
      </c>
      <c r="H127" s="7" t="n">
        <v>48.5</v>
      </c>
    </row>
    <row r="128">
      <c r="A128" s="6" t="inlineStr">
        <is>
          <t>K KIRAN PATEL EOLL</t>
        </is>
      </c>
      <c r="B128" s="6" t="inlineStr">
        <is>
          <t>A-EL PKNG HIGH_RISK</t>
        </is>
      </c>
      <c r="C128" s="7" t="n">
        <v>0</v>
      </c>
      <c r="D128" s="7" t="n">
        <v>17.25</v>
      </c>
      <c r="E128" s="7" t="n">
        <v>0</v>
      </c>
      <c r="F128" s="7" t="n">
        <v>0</v>
      </c>
      <c r="G128" s="7" t="n">
        <v>0</v>
      </c>
      <c r="H128" s="7" t="n">
        <v>17.25</v>
      </c>
    </row>
    <row r="129">
      <c r="A129" s="6" t="inlineStr">
        <is>
          <t>A KUMARI YADAV EOLL</t>
        </is>
      </c>
      <c r="B129" s="6" t="inlineStr">
        <is>
          <t>A-EL PKNG HIGH_RISK</t>
        </is>
      </c>
      <c r="C129" s="7" t="n">
        <v>0</v>
      </c>
      <c r="D129" s="7" t="n">
        <v>0</v>
      </c>
      <c r="E129" s="7" t="n">
        <v>0</v>
      </c>
      <c r="F129" s="7" t="n">
        <v>0</v>
      </c>
      <c r="G129" s="7" t="n">
        <v>0</v>
      </c>
      <c r="H129" s="7" t="n">
        <v>0</v>
      </c>
    </row>
    <row r="130">
      <c r="A130" s="6" t="inlineStr">
        <is>
          <t>A KUNJADIYA EOLL</t>
        </is>
      </c>
      <c r="B130" s="6" t="inlineStr">
        <is>
          <t>A-EL PKNG HIGH_RISK</t>
        </is>
      </c>
      <c r="C130" s="7" t="n">
        <v>0</v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</row>
    <row r="131">
      <c r="A131" s="6" t="inlineStr">
        <is>
          <t>J MAYENKAR EOLL</t>
        </is>
      </c>
      <c r="B131" s="6" t="inlineStr">
        <is>
          <t>A-EL PKNG HIGH_RISK</t>
        </is>
      </c>
      <c r="C131" s="7" t="n">
        <v>0</v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0</v>
      </c>
    </row>
    <row r="132">
      <c r="A132" s="6" t="inlineStr">
        <is>
          <t>J MENDAPARA EOLL</t>
        </is>
      </c>
      <c r="B132" s="6" t="inlineStr">
        <is>
          <t>A-EL PKNG HIGH_RISK</t>
        </is>
      </c>
      <c r="C132" s="7" t="n">
        <v>0</v>
      </c>
      <c r="D132" s="7" t="n">
        <v>29.5</v>
      </c>
      <c r="E132" s="7" t="n">
        <v>0</v>
      </c>
      <c r="F132" s="7" t="n">
        <v>7.25</v>
      </c>
      <c r="G132" s="7" t="n">
        <v>0</v>
      </c>
      <c r="H132" s="7" t="n">
        <v>36.75</v>
      </c>
    </row>
    <row r="133">
      <c r="A133" s="6" t="inlineStr">
        <is>
          <t>S MOTISARIYA EOLL</t>
        </is>
      </c>
      <c r="B133" s="6" t="inlineStr">
        <is>
          <t>A-EL PKNG HIGH_RISK</t>
        </is>
      </c>
      <c r="C133" s="7" t="n">
        <v>0</v>
      </c>
      <c r="D133" s="7" t="n">
        <v>15.25</v>
      </c>
      <c r="E133" s="7" t="n">
        <v>0</v>
      </c>
      <c r="F133" s="7" t="n">
        <v>0</v>
      </c>
      <c r="G133" s="7" t="n">
        <v>0</v>
      </c>
      <c r="H133" s="7" t="n">
        <v>15.25</v>
      </c>
    </row>
    <row r="134">
      <c r="A134" s="6" t="inlineStr">
        <is>
          <t>R NANJI EOLL</t>
        </is>
      </c>
      <c r="B134" s="6" t="inlineStr">
        <is>
          <t>A-EL PKNG HIGH_RISK</t>
        </is>
      </c>
      <c r="C134" s="7" t="n">
        <v>0</v>
      </c>
      <c r="D134" s="7" t="n">
        <v>31.75</v>
      </c>
      <c r="E134" s="7" t="n">
        <v>0</v>
      </c>
      <c r="F134" s="7" t="n">
        <v>0</v>
      </c>
      <c r="G134" s="7" t="n">
        <v>0</v>
      </c>
      <c r="H134" s="7" t="n">
        <v>31.75</v>
      </c>
    </row>
    <row r="135">
      <c r="A135" s="6" t="inlineStr">
        <is>
          <t>M PARTH MESHIYA EOLL</t>
        </is>
      </c>
      <c r="B135" s="6" t="inlineStr">
        <is>
          <t>A-EL PKNG HIGH_RISK</t>
        </is>
      </c>
      <c r="C135" s="7" t="n">
        <v>0</v>
      </c>
      <c r="D135" s="7" t="n">
        <v>4.75</v>
      </c>
      <c r="E135" s="7" t="n">
        <v>0</v>
      </c>
      <c r="F135" s="7" t="n">
        <v>0</v>
      </c>
      <c r="G135" s="7" t="n">
        <v>0</v>
      </c>
      <c r="H135" s="7" t="n">
        <v>4.75</v>
      </c>
    </row>
    <row r="136">
      <c r="A136" s="6" t="inlineStr">
        <is>
          <t>A PATEL EOLL</t>
        </is>
      </c>
      <c r="B136" s="6" t="inlineStr">
        <is>
          <t>A-EL PKNG HIGH_RISK</t>
        </is>
      </c>
      <c r="C136" s="7" t="n">
        <v>0</v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</v>
      </c>
    </row>
    <row r="137">
      <c r="A137" s="6" t="inlineStr">
        <is>
          <t>N PATEL EOLL</t>
        </is>
      </c>
      <c r="B137" s="6" t="inlineStr">
        <is>
          <t>A-EL PKNG HIGH_RISK</t>
        </is>
      </c>
      <c r="C137" s="7" t="n">
        <v>0</v>
      </c>
      <c r="D137" s="7" t="n">
        <v>0</v>
      </c>
      <c r="E137" s="7" t="n">
        <v>0</v>
      </c>
      <c r="F137" s="7" t="n">
        <v>0</v>
      </c>
      <c r="G137" s="7" t="n">
        <v>0</v>
      </c>
      <c r="H137" s="7" t="n">
        <v>0</v>
      </c>
    </row>
    <row r="138">
      <c r="A138" s="6" t="inlineStr">
        <is>
          <t>P PATEL EOLL</t>
        </is>
      </c>
      <c r="B138" s="6" t="inlineStr">
        <is>
          <t>A-EL PKNG HIGH_RISK</t>
        </is>
      </c>
      <c r="C138" s="7" t="n">
        <v>0</v>
      </c>
      <c r="D138" s="7" t="n">
        <v>14</v>
      </c>
      <c r="E138" s="7" t="n">
        <v>0</v>
      </c>
      <c r="F138" s="7" t="n">
        <v>0</v>
      </c>
      <c r="G138" s="7" t="n">
        <v>0</v>
      </c>
      <c r="H138" s="7" t="n">
        <v>14</v>
      </c>
    </row>
    <row r="139">
      <c r="A139" s="6" t="inlineStr">
        <is>
          <t>S PATEL EOLL</t>
        </is>
      </c>
      <c r="B139" s="6" t="inlineStr">
        <is>
          <t>A-EL PKNG HIGH_RISK</t>
        </is>
      </c>
      <c r="C139" s="7" t="n">
        <v>0</v>
      </c>
      <c r="D139" s="7" t="n">
        <v>0</v>
      </c>
      <c r="E139" s="7" t="n">
        <v>0</v>
      </c>
      <c r="F139" s="7" t="n">
        <v>0</v>
      </c>
      <c r="G139" s="7" t="n">
        <v>0</v>
      </c>
      <c r="H139" s="7" t="n">
        <v>0</v>
      </c>
    </row>
    <row r="140">
      <c r="A140" s="6" t="inlineStr">
        <is>
          <t>V PATEL EOLL</t>
        </is>
      </c>
      <c r="B140" s="6" t="inlineStr">
        <is>
          <t>A-EL PKNG HIGH_RISK</t>
        </is>
      </c>
      <c r="C140" s="7" t="n">
        <v>0</v>
      </c>
      <c r="D140" s="7" t="n">
        <v>14</v>
      </c>
      <c r="E140" s="7" t="n">
        <v>0</v>
      </c>
      <c r="F140" s="7" t="n">
        <v>0</v>
      </c>
      <c r="G140" s="7" t="n">
        <v>0</v>
      </c>
      <c r="H140" s="7" t="n">
        <v>14</v>
      </c>
    </row>
    <row r="141">
      <c r="A141" s="6" t="inlineStr">
        <is>
          <t>J RAMESH EOLL</t>
        </is>
      </c>
      <c r="B141" s="6" t="inlineStr">
        <is>
          <t>A-EL PKNG HIGH_RISK</t>
        </is>
      </c>
      <c r="C141" s="7" t="n">
        <v>0</v>
      </c>
      <c r="D141" s="7" t="n">
        <v>35.25</v>
      </c>
      <c r="E141" s="7" t="n">
        <v>9.25</v>
      </c>
      <c r="F141" s="7" t="n">
        <v>0</v>
      </c>
      <c r="G141" s="7" t="n">
        <v>0</v>
      </c>
      <c r="H141" s="7" t="n">
        <v>44.5</v>
      </c>
    </row>
    <row r="142">
      <c r="A142" s="6" t="inlineStr">
        <is>
          <t>P RAMJI EOLL</t>
        </is>
      </c>
      <c r="B142" s="6" t="inlineStr">
        <is>
          <t>A-EL PKNG HIGH_RISK</t>
        </is>
      </c>
      <c r="C142" s="7" t="n">
        <v>0</v>
      </c>
      <c r="D142" s="7" t="n">
        <v>26.25</v>
      </c>
      <c r="E142" s="7" t="n">
        <v>0</v>
      </c>
      <c r="F142" s="7" t="n">
        <v>0</v>
      </c>
      <c r="G142" s="7" t="n">
        <v>0</v>
      </c>
      <c r="H142" s="7" t="n">
        <v>26.25</v>
      </c>
    </row>
    <row r="143">
      <c r="A143" s="6" t="inlineStr">
        <is>
          <t>P SATISH EOLL</t>
        </is>
      </c>
      <c r="B143" s="6" t="inlineStr">
        <is>
          <t>A-EL PKNG HIGH_RISK</t>
        </is>
      </c>
      <c r="C143" s="7" t="n">
        <v>0</v>
      </c>
      <c r="D143" s="7" t="n">
        <v>33</v>
      </c>
      <c r="E143" s="7" t="n">
        <v>0</v>
      </c>
      <c r="F143" s="7" t="n">
        <v>0</v>
      </c>
      <c r="G143" s="7" t="n">
        <v>0</v>
      </c>
      <c r="H143" s="7" t="n">
        <v>33</v>
      </c>
    </row>
    <row r="144">
      <c r="A144" s="6" t="inlineStr">
        <is>
          <t>J SAVSARIYA EOLL</t>
        </is>
      </c>
      <c r="B144" s="6" t="inlineStr">
        <is>
          <t>A-EL PKNG HIGH_RISK</t>
        </is>
      </c>
      <c r="C144" s="7" t="n">
        <v>0</v>
      </c>
      <c r="D144" s="7" t="n">
        <v>0</v>
      </c>
      <c r="E144" s="7" t="n">
        <v>0</v>
      </c>
      <c r="F144" s="7" t="n">
        <v>0</v>
      </c>
      <c r="G144" s="7" t="n">
        <v>0</v>
      </c>
      <c r="H144" s="7" t="n">
        <v>0</v>
      </c>
    </row>
    <row r="145">
      <c r="A145" s="6" t="inlineStr">
        <is>
          <t>R VAGHANI EOLL</t>
        </is>
      </c>
      <c r="B145" s="6" t="inlineStr">
        <is>
          <t>A-EL PKNG HIGH_RISK</t>
        </is>
      </c>
      <c r="C145" s="7" t="n">
        <v>0</v>
      </c>
      <c r="D145" s="7" t="n">
        <v>32.75</v>
      </c>
      <c r="E145" s="7" t="n">
        <v>0</v>
      </c>
      <c r="F145" s="7" t="n">
        <v>0</v>
      </c>
      <c r="G145" s="7" t="n">
        <v>0</v>
      </c>
      <c r="H145" s="7" t="n">
        <v>32.75</v>
      </c>
    </row>
    <row r="146">
      <c r="A146" s="6" t="inlineStr">
        <is>
          <t>A VAGHASIYA EOLL</t>
        </is>
      </c>
      <c r="B146" s="6" t="inlineStr">
        <is>
          <t>A-EL PKNG HIGH_RISK</t>
        </is>
      </c>
      <c r="C146" s="7" t="n">
        <v>0</v>
      </c>
      <c r="D146" s="7" t="n">
        <v>38</v>
      </c>
      <c r="E146" s="7" t="n">
        <v>0</v>
      </c>
      <c r="F146" s="7" t="n">
        <v>6.75</v>
      </c>
      <c r="G146" s="7" t="n">
        <v>0</v>
      </c>
      <c r="H146" s="7" t="n">
        <v>44.75</v>
      </c>
    </row>
    <row r="147">
      <c r="A147" s="6" t="inlineStr">
        <is>
          <t>J VAGHASIYA EOLL</t>
        </is>
      </c>
      <c r="B147" s="6" t="inlineStr">
        <is>
          <t>A-EL PKNG HIGH_RISK</t>
        </is>
      </c>
      <c r="C147" s="7" t="n">
        <v>0</v>
      </c>
      <c r="D147" s="7" t="n">
        <v>17.5</v>
      </c>
      <c r="E147" s="7" t="n">
        <v>0</v>
      </c>
      <c r="F147" s="7" t="n">
        <v>0</v>
      </c>
      <c r="G147" s="7" t="n">
        <v>0</v>
      </c>
      <c r="H147" s="7" t="n">
        <v>17.5</v>
      </c>
    </row>
    <row r="148">
      <c r="A148" s="6" t="inlineStr">
        <is>
          <t>A AGARWAL EOLL</t>
        </is>
      </c>
      <c r="B148" s="6" t="inlineStr">
        <is>
          <t>A-EL PKNG SLEEVING</t>
        </is>
      </c>
      <c r="C148" s="7" t="n">
        <v>0</v>
      </c>
      <c r="D148" s="7" t="n">
        <v>17.75</v>
      </c>
      <c r="E148" s="7" t="n">
        <v>0</v>
      </c>
      <c r="F148" s="7" t="n">
        <v>0</v>
      </c>
      <c r="G148" s="7" t="n">
        <v>0</v>
      </c>
      <c r="H148" s="7" t="n">
        <v>17.75</v>
      </c>
    </row>
    <row r="149">
      <c r="A149" s="6" t="inlineStr">
        <is>
          <t>J BELADIYA EOLL</t>
        </is>
      </c>
      <c r="B149" s="6" t="inlineStr">
        <is>
          <t>A-EL PKNG SLEEVING</t>
        </is>
      </c>
      <c r="C149" s="7" t="n">
        <v>0</v>
      </c>
      <c r="D149" s="7" t="n">
        <v>22.75</v>
      </c>
      <c r="E149" s="7" t="n">
        <v>0</v>
      </c>
      <c r="F149" s="7" t="n">
        <v>0</v>
      </c>
      <c r="G149" s="7" t="n">
        <v>0</v>
      </c>
      <c r="H149" s="7" t="n">
        <v>22.75</v>
      </c>
    </row>
    <row r="150">
      <c r="A150" s="6" t="inlineStr">
        <is>
          <t>B CHAVDA EOLL</t>
        </is>
      </c>
      <c r="B150" s="6" t="inlineStr">
        <is>
          <t>A-EL PKNG SLEEVING</t>
        </is>
      </c>
      <c r="C150" s="7" t="n">
        <v>0</v>
      </c>
      <c r="D150" s="7" t="n">
        <v>7.5</v>
      </c>
      <c r="E150" s="7" t="n">
        <v>0</v>
      </c>
      <c r="F150" s="7" t="n">
        <v>0</v>
      </c>
      <c r="G150" s="7" t="n">
        <v>0</v>
      </c>
      <c r="H150" s="7" t="n">
        <v>7.5</v>
      </c>
    </row>
    <row r="151">
      <c r="A151" s="6" t="inlineStr">
        <is>
          <t>V HASMUKHBHAI PATEL EOLL</t>
        </is>
      </c>
      <c r="B151" s="6" t="inlineStr">
        <is>
          <t>A-EL PKNG SLEEVING</t>
        </is>
      </c>
      <c r="C151" s="7" t="n">
        <v>0</v>
      </c>
      <c r="D151" s="7" t="n">
        <v>6.5</v>
      </c>
      <c r="E151" s="7" t="n">
        <v>0</v>
      </c>
      <c r="F151" s="7" t="n">
        <v>0</v>
      </c>
      <c r="G151" s="7" t="n">
        <v>0</v>
      </c>
      <c r="H151" s="7" t="n">
        <v>6.5</v>
      </c>
    </row>
    <row r="152">
      <c r="A152" s="6" t="inlineStr">
        <is>
          <t>N JAMNADAS EOLL</t>
        </is>
      </c>
      <c r="B152" s="6" t="inlineStr">
        <is>
          <t>A-EL PKNG SLEEVING</t>
        </is>
      </c>
      <c r="C152" s="7" t="n">
        <v>0</v>
      </c>
      <c r="D152" s="7" t="n">
        <v>0</v>
      </c>
      <c r="E152" s="7" t="n">
        <v>0</v>
      </c>
      <c r="F152" s="7" t="n">
        <v>0</v>
      </c>
      <c r="G152" s="7" t="n">
        <v>0</v>
      </c>
      <c r="H152" s="7" t="n">
        <v>0</v>
      </c>
    </row>
    <row r="153">
      <c r="A153" s="6" t="inlineStr">
        <is>
          <t>H KANANI EOLL</t>
        </is>
      </c>
      <c r="B153" s="6" t="inlineStr">
        <is>
          <t>A-EL PKNG SLEEVING</t>
        </is>
      </c>
      <c r="C153" s="7" t="n">
        <v>0</v>
      </c>
      <c r="D153" s="7" t="n">
        <v>6.5</v>
      </c>
      <c r="E153" s="7" t="n">
        <v>0</v>
      </c>
      <c r="F153" s="7" t="n">
        <v>0</v>
      </c>
      <c r="G153" s="7" t="n">
        <v>0</v>
      </c>
      <c r="H153" s="7" t="n">
        <v>6.5</v>
      </c>
    </row>
    <row r="154">
      <c r="A154" s="6" t="inlineStr">
        <is>
          <t>J KOSHTI EOLL</t>
        </is>
      </c>
      <c r="B154" s="6" t="inlineStr">
        <is>
          <t>A-EL PKNG SLEEVING</t>
        </is>
      </c>
      <c r="C154" s="7" t="n">
        <v>0</v>
      </c>
      <c r="D154" s="7" t="n">
        <v>24.25</v>
      </c>
      <c r="E154" s="7" t="n">
        <v>0</v>
      </c>
      <c r="F154" s="7" t="n">
        <v>0</v>
      </c>
      <c r="G154" s="7" t="n">
        <v>0</v>
      </c>
      <c r="H154" s="7" t="n">
        <v>24.25</v>
      </c>
    </row>
    <row r="155">
      <c r="A155" s="6" t="inlineStr">
        <is>
          <t>N MAKVANA EOLL</t>
        </is>
      </c>
      <c r="B155" s="6" t="inlineStr">
        <is>
          <t>A-EL PKNG SLEEVING</t>
        </is>
      </c>
      <c r="C155" s="7" t="n">
        <v>0</v>
      </c>
      <c r="D155" s="7" t="n">
        <v>41.25</v>
      </c>
      <c r="E155" s="7" t="n">
        <v>0.5</v>
      </c>
      <c r="F155" s="7" t="n">
        <v>0</v>
      </c>
      <c r="G155" s="7" t="n">
        <v>0</v>
      </c>
      <c r="H155" s="7" t="n">
        <v>41.75</v>
      </c>
    </row>
    <row r="156">
      <c r="A156" s="6" t="inlineStr">
        <is>
          <t>D MUKESHKUMAR EOLL</t>
        </is>
      </c>
      <c r="B156" s="6" t="inlineStr">
        <is>
          <t>A-EL PKNG SLEEVING</t>
        </is>
      </c>
      <c r="C156" s="7" t="n">
        <v>0</v>
      </c>
      <c r="D156" s="7" t="n">
        <v>22</v>
      </c>
      <c r="E156" s="7" t="n">
        <v>0</v>
      </c>
      <c r="F156" s="7" t="n">
        <v>0</v>
      </c>
      <c r="G156" s="7" t="n">
        <v>0</v>
      </c>
      <c r="H156" s="7" t="n">
        <v>22</v>
      </c>
    </row>
    <row r="157">
      <c r="A157" s="6" t="inlineStr">
        <is>
          <t>L PATEL EOLL</t>
        </is>
      </c>
      <c r="B157" s="6" t="inlineStr">
        <is>
          <t>A-EL PKNG SLEEVING</t>
        </is>
      </c>
      <c r="C157" s="7" t="n">
        <v>0</v>
      </c>
      <c r="D157" s="7" t="n">
        <v>0</v>
      </c>
      <c r="E157" s="7" t="n">
        <v>0</v>
      </c>
      <c r="F157" s="7" t="n">
        <v>0</v>
      </c>
      <c r="G157" s="7" t="n">
        <v>0</v>
      </c>
      <c r="H157" s="7" t="n">
        <v>0</v>
      </c>
    </row>
    <row r="158">
      <c r="A158" s="6" t="inlineStr">
        <is>
          <t>N PETHANI EOLL</t>
        </is>
      </c>
      <c r="B158" s="6" t="inlineStr">
        <is>
          <t>A-EL PKNG SLEEVING</t>
        </is>
      </c>
      <c r="C158" s="7" t="n">
        <v>0</v>
      </c>
      <c r="D158" s="7" t="n">
        <v>14</v>
      </c>
      <c r="E158" s="7" t="n">
        <v>0</v>
      </c>
      <c r="F158" s="7" t="n">
        <v>0</v>
      </c>
      <c r="G158" s="7" t="n">
        <v>0</v>
      </c>
      <c r="H158" s="7" t="n">
        <v>14</v>
      </c>
    </row>
    <row r="159">
      <c r="A159" s="6" t="inlineStr">
        <is>
          <t>N RAMESH EOLL</t>
        </is>
      </c>
      <c r="B159" s="6" t="inlineStr">
        <is>
          <t>A-EL PKNG SLEEVING</t>
        </is>
      </c>
      <c r="C159" s="7" t="n">
        <v>0</v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</row>
    <row r="160">
      <c r="A160" s="6" t="inlineStr">
        <is>
          <t>N RATHOD EOLL</t>
        </is>
      </c>
      <c r="B160" s="6" t="inlineStr">
        <is>
          <t>A-EL PKNG SLEEVING</t>
        </is>
      </c>
      <c r="C160" s="7" t="n">
        <v>0</v>
      </c>
      <c r="D160" s="7" t="n">
        <v>7.5</v>
      </c>
      <c r="E160" s="7" t="n">
        <v>0</v>
      </c>
      <c r="F160" s="7" t="n">
        <v>0</v>
      </c>
      <c r="G160" s="7" t="n">
        <v>0</v>
      </c>
      <c r="H160" s="7" t="n">
        <v>7.5</v>
      </c>
    </row>
    <row r="161">
      <c r="A161" s="6" t="inlineStr">
        <is>
          <t>G ROHITBHAI PATEL EOLL</t>
        </is>
      </c>
      <c r="B161" s="6" t="inlineStr">
        <is>
          <t>A-EL PKNG SLEEVING</t>
        </is>
      </c>
      <c r="C161" s="7" t="n">
        <v>0</v>
      </c>
      <c r="D161" s="7" t="n">
        <v>0</v>
      </c>
      <c r="E161" s="7" t="n">
        <v>0</v>
      </c>
      <c r="F161" s="7" t="n">
        <v>0</v>
      </c>
      <c r="G161" s="7" t="n">
        <v>0</v>
      </c>
      <c r="H161" s="7" t="n">
        <v>0</v>
      </c>
    </row>
    <row r="162">
      <c r="A162" s="6" t="inlineStr">
        <is>
          <t>D SIKOTARA EOLL</t>
        </is>
      </c>
      <c r="B162" s="6" t="inlineStr">
        <is>
          <t>A-EL PKNG SLEEVING</t>
        </is>
      </c>
      <c r="C162" s="7" t="n">
        <v>0</v>
      </c>
      <c r="D162" s="7" t="n">
        <v>0</v>
      </c>
      <c r="E162" s="7" t="n">
        <v>0</v>
      </c>
      <c r="F162" s="7" t="n">
        <v>0</v>
      </c>
      <c r="G162" s="7" t="n">
        <v>0</v>
      </c>
      <c r="H162" s="7" t="n">
        <v>0</v>
      </c>
    </row>
    <row r="163">
      <c r="A163" s="6" t="inlineStr">
        <is>
          <t>P THAKOR EOLL</t>
        </is>
      </c>
      <c r="B163" s="6" t="inlineStr">
        <is>
          <t>A-EL PKNG SLEEVING</t>
        </is>
      </c>
      <c r="C163" s="7" t="n">
        <v>0</v>
      </c>
      <c r="D163" s="7" t="n">
        <v>4.5</v>
      </c>
      <c r="E163" s="7" t="n">
        <v>0</v>
      </c>
      <c r="F163" s="7" t="n">
        <v>0</v>
      </c>
      <c r="G163" s="7" t="n">
        <v>0</v>
      </c>
      <c r="H163" s="7" t="n">
        <v>4.5</v>
      </c>
    </row>
    <row r="164">
      <c r="A164" s="6" t="inlineStr">
        <is>
          <t>B ARGI EOLL</t>
        </is>
      </c>
      <c r="B164" s="6" t="inlineStr">
        <is>
          <t>A-EL PROD BELT</t>
        </is>
      </c>
      <c r="C164" s="7" t="n">
        <v>0</v>
      </c>
      <c r="D164" s="7" t="n">
        <v>26.5</v>
      </c>
      <c r="E164" s="7" t="n">
        <v>0</v>
      </c>
      <c r="F164" s="7" t="n">
        <v>0</v>
      </c>
      <c r="G164" s="7" t="n">
        <v>0</v>
      </c>
      <c r="H164" s="7" t="n">
        <v>26.5</v>
      </c>
    </row>
    <row r="165">
      <c r="A165" s="6" t="inlineStr">
        <is>
          <t>K BABU EOLL</t>
        </is>
      </c>
      <c r="B165" s="6" t="inlineStr">
        <is>
          <t>A-EL PROD BELT</t>
        </is>
      </c>
      <c r="C165" s="7" t="n">
        <v>0</v>
      </c>
      <c r="D165" s="7" t="n">
        <v>28</v>
      </c>
      <c r="E165" s="7" t="n">
        <v>0</v>
      </c>
      <c r="F165" s="7" t="n">
        <v>0</v>
      </c>
      <c r="G165" s="7" t="n">
        <v>0</v>
      </c>
      <c r="H165" s="7" t="n">
        <v>28</v>
      </c>
    </row>
    <row r="166">
      <c r="A166" s="6" t="inlineStr">
        <is>
          <t>H BHIKHA EOLL</t>
        </is>
      </c>
      <c r="B166" s="6" t="inlineStr">
        <is>
          <t>A-EL PROD BELT</t>
        </is>
      </c>
      <c r="C166" s="7" t="n">
        <v>0</v>
      </c>
      <c r="D166" s="7" t="n">
        <v>34.5</v>
      </c>
      <c r="E166" s="7" t="n">
        <v>0</v>
      </c>
      <c r="F166" s="7" t="n">
        <v>0</v>
      </c>
      <c r="G166" s="7" t="n">
        <v>0</v>
      </c>
      <c r="H166" s="7" t="n">
        <v>34.5</v>
      </c>
    </row>
    <row r="167">
      <c r="A167" s="6" t="inlineStr">
        <is>
          <t>A CANGI EOLL</t>
        </is>
      </c>
      <c r="B167" s="6" t="inlineStr">
        <is>
          <t>A-EL PROD BELT</t>
        </is>
      </c>
      <c r="C167" s="7" t="n">
        <v>0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</row>
    <row r="168">
      <c r="A168" s="6" t="inlineStr">
        <is>
          <t>H CHANDRAKANT EOLL</t>
        </is>
      </c>
      <c r="B168" s="6" t="inlineStr">
        <is>
          <t>A-EL PROD BELT</t>
        </is>
      </c>
      <c r="C168" s="7" t="n">
        <v>0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</row>
    <row r="169">
      <c r="A169" s="6" t="inlineStr">
        <is>
          <t>H CHUNILAL EOLL</t>
        </is>
      </c>
      <c r="B169" s="6" t="inlineStr">
        <is>
          <t>A-EL PROD BELT</t>
        </is>
      </c>
      <c r="C169" s="7" t="n">
        <v>0</v>
      </c>
      <c r="D169" s="7" t="n">
        <v>26.5</v>
      </c>
      <c r="E169" s="7" t="n">
        <v>0</v>
      </c>
      <c r="F169" s="7" t="n">
        <v>0</v>
      </c>
      <c r="G169" s="7" t="n">
        <v>0</v>
      </c>
      <c r="H169" s="7" t="n">
        <v>26.5</v>
      </c>
    </row>
    <row r="170">
      <c r="A170" s="6" t="inlineStr">
        <is>
          <t>A DHIRU NAYEE EOLL</t>
        </is>
      </c>
      <c r="B170" s="6" t="inlineStr">
        <is>
          <t>A-EL PROD BELT</t>
        </is>
      </c>
      <c r="C170" s="7" t="n">
        <v>0</v>
      </c>
      <c r="D170" s="7" t="n">
        <v>26.5</v>
      </c>
      <c r="E170" s="7" t="n">
        <v>0</v>
      </c>
      <c r="F170" s="7" t="n">
        <v>0</v>
      </c>
      <c r="G170" s="7" t="n">
        <v>0</v>
      </c>
      <c r="H170" s="7" t="n">
        <v>26.5</v>
      </c>
    </row>
    <row r="171">
      <c r="A171" s="6" t="inlineStr">
        <is>
          <t>A DINESH EOLL</t>
        </is>
      </c>
      <c r="B171" s="6" t="inlineStr">
        <is>
          <t>A-EL PROD BELT</t>
        </is>
      </c>
      <c r="C171" s="7" t="n">
        <v>0</v>
      </c>
      <c r="D171" s="7" t="n">
        <v>26.75</v>
      </c>
      <c r="E171" s="7" t="n">
        <v>0</v>
      </c>
      <c r="F171" s="7" t="n">
        <v>0</v>
      </c>
      <c r="G171" s="7" t="n">
        <v>0</v>
      </c>
      <c r="H171" s="7" t="n">
        <v>26.75</v>
      </c>
    </row>
    <row r="172">
      <c r="A172" s="6" t="inlineStr">
        <is>
          <t>J JIVA EOLL</t>
        </is>
      </c>
      <c r="B172" s="6" t="inlineStr">
        <is>
          <t>A-EL PROD BELT</t>
        </is>
      </c>
      <c r="C172" s="7" t="n">
        <v>0</v>
      </c>
      <c r="D172" s="7" t="n">
        <v>32.5</v>
      </c>
      <c r="E172" s="7" t="n">
        <v>0</v>
      </c>
      <c r="F172" s="7" t="n">
        <v>0</v>
      </c>
      <c r="G172" s="7" t="n">
        <v>0</v>
      </c>
      <c r="H172" s="7" t="n">
        <v>32.5</v>
      </c>
    </row>
    <row r="173">
      <c r="A173" s="6" t="inlineStr">
        <is>
          <t>J KANJI EOLL</t>
        </is>
      </c>
      <c r="B173" s="6" t="inlineStr">
        <is>
          <t>A-EL PROD BELT</t>
        </is>
      </c>
      <c r="C173" s="7" t="n">
        <v>0</v>
      </c>
      <c r="D173" s="7" t="n">
        <v>6.75</v>
      </c>
      <c r="E173" s="7" t="n">
        <v>0</v>
      </c>
      <c r="F173" s="7" t="n">
        <v>0</v>
      </c>
      <c r="G173" s="7" t="n">
        <v>0</v>
      </c>
      <c r="H173" s="7" t="n">
        <v>6.75</v>
      </c>
    </row>
    <row r="174">
      <c r="A174" s="6" t="inlineStr">
        <is>
          <t>P KHUNT EOLL</t>
        </is>
      </c>
      <c r="B174" s="6" t="inlineStr">
        <is>
          <t>A-EL PROD BELT</t>
        </is>
      </c>
      <c r="C174" s="7" t="n">
        <v>0</v>
      </c>
      <c r="D174" s="7" t="n">
        <v>0</v>
      </c>
      <c r="E174" s="7" t="n">
        <v>0</v>
      </c>
      <c r="F174" s="7" t="n">
        <v>0</v>
      </c>
      <c r="G174" s="7" t="n">
        <v>0</v>
      </c>
      <c r="H174" s="7" t="n">
        <v>0</v>
      </c>
    </row>
    <row r="175">
      <c r="A175" s="6" t="inlineStr">
        <is>
          <t>T LALJI EOLL</t>
        </is>
      </c>
      <c r="B175" s="6" t="inlineStr">
        <is>
          <t>A-EL PROD BELT</t>
        </is>
      </c>
      <c r="C175" s="7" t="n">
        <v>0</v>
      </c>
      <c r="D175" s="7" t="n">
        <v>34.75</v>
      </c>
      <c r="E175" s="7" t="n">
        <v>0</v>
      </c>
      <c r="F175" s="7" t="n">
        <v>0</v>
      </c>
      <c r="G175" s="7" t="n">
        <v>0</v>
      </c>
      <c r="H175" s="7" t="n">
        <v>34.75</v>
      </c>
    </row>
    <row r="176">
      <c r="A176" s="6" t="inlineStr">
        <is>
          <t>C MONIZ EOLL</t>
        </is>
      </c>
      <c r="B176" s="6" t="inlineStr">
        <is>
          <t>A-EL PROD BELT</t>
        </is>
      </c>
      <c r="C176" s="7" t="n">
        <v>0</v>
      </c>
      <c r="D176" s="7" t="n">
        <v>8.25</v>
      </c>
      <c r="E176" s="7" t="n">
        <v>0</v>
      </c>
      <c r="F176" s="7" t="n">
        <v>0</v>
      </c>
      <c r="G176" s="7" t="n">
        <v>0</v>
      </c>
      <c r="H176" s="7" t="n">
        <v>8.25</v>
      </c>
    </row>
    <row r="177">
      <c r="A177" s="6" t="inlineStr">
        <is>
          <t>B NANJI BAMANIYA EOLL</t>
        </is>
      </c>
      <c r="B177" s="6" t="inlineStr">
        <is>
          <t>A-EL PROD BELT</t>
        </is>
      </c>
      <c r="C177" s="7" t="n">
        <v>0</v>
      </c>
      <c r="D177" s="7" t="n">
        <v>29</v>
      </c>
      <c r="E177" s="7" t="n">
        <v>0</v>
      </c>
      <c r="F177" s="7" t="n">
        <v>0</v>
      </c>
      <c r="G177" s="7" t="n">
        <v>0</v>
      </c>
      <c r="H177" s="7" t="n">
        <v>29</v>
      </c>
    </row>
    <row r="178">
      <c r="A178" s="6" t="inlineStr">
        <is>
          <t>D NANJI CHAVDA EOLL</t>
        </is>
      </c>
      <c r="B178" s="6" t="inlineStr">
        <is>
          <t>A-EL PROD BELT</t>
        </is>
      </c>
      <c r="C178" s="7" t="n">
        <v>0</v>
      </c>
      <c r="D178" s="7" t="n">
        <v>29</v>
      </c>
      <c r="E178" s="7" t="n">
        <v>0</v>
      </c>
      <c r="F178" s="7" t="n">
        <v>0</v>
      </c>
      <c r="G178" s="7" t="n">
        <v>0</v>
      </c>
      <c r="H178" s="7" t="n">
        <v>29</v>
      </c>
    </row>
    <row r="179">
      <c r="A179" s="6" t="inlineStr">
        <is>
          <t>D PRAVIND EOLL</t>
        </is>
      </c>
      <c r="B179" s="6" t="inlineStr">
        <is>
          <t>A-EL PROD BELT</t>
        </is>
      </c>
      <c r="C179" s="7" t="n">
        <v>0</v>
      </c>
      <c r="D179" s="7" t="n">
        <v>16.5</v>
      </c>
      <c r="E179" s="7" t="n">
        <v>0</v>
      </c>
      <c r="F179" s="7" t="n">
        <v>0</v>
      </c>
      <c r="G179" s="7" t="n">
        <v>0</v>
      </c>
      <c r="H179" s="7" t="n">
        <v>16.5</v>
      </c>
    </row>
    <row r="180">
      <c r="A180" s="6" t="inlineStr">
        <is>
          <t>K RUPESHKUMAR GADHIYA EOLL</t>
        </is>
      </c>
      <c r="B180" s="6" t="inlineStr">
        <is>
          <t>A-EL PROD BELT</t>
        </is>
      </c>
      <c r="C180" s="7" t="n">
        <v>0</v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</row>
    <row r="181">
      <c r="A181" s="6" t="inlineStr">
        <is>
          <t>D SETHALA EOLL</t>
        </is>
      </c>
      <c r="B181" s="6" t="inlineStr">
        <is>
          <t>A-EL PROD BELT</t>
        </is>
      </c>
      <c r="C181" s="7" t="n">
        <v>0</v>
      </c>
      <c r="D181" s="7" t="n">
        <v>27</v>
      </c>
      <c r="E181" s="7" t="n">
        <v>0</v>
      </c>
      <c r="F181" s="7" t="n">
        <v>0</v>
      </c>
      <c r="G181" s="7" t="n">
        <v>0</v>
      </c>
      <c r="H181" s="7" t="n">
        <v>27</v>
      </c>
    </row>
    <row r="182">
      <c r="A182" s="6" t="inlineStr">
        <is>
          <t>B UCARO EOLL</t>
        </is>
      </c>
      <c r="B182" s="6" t="inlineStr">
        <is>
          <t>A-EL PROD BELT</t>
        </is>
      </c>
      <c r="C182" s="7" t="n">
        <v>0</v>
      </c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</row>
    <row r="183">
      <c r="A183" s="6" t="inlineStr">
        <is>
          <t>K UKORDA BAMANIA EOLL</t>
        </is>
      </c>
      <c r="B183" s="6" t="inlineStr">
        <is>
          <t>A-EL PROD BELT</t>
        </is>
      </c>
      <c r="C183" s="7" t="n">
        <v>0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</row>
    <row r="184">
      <c r="A184" s="6" t="inlineStr">
        <is>
          <t>D VISHAL EOLL</t>
        </is>
      </c>
      <c r="B184" s="6" t="inlineStr">
        <is>
          <t>A-EL PROD BELT</t>
        </is>
      </c>
      <c r="C184" s="7" t="n">
        <v>0</v>
      </c>
      <c r="D184" s="7" t="n">
        <v>26.5</v>
      </c>
      <c r="E184" s="7" t="n">
        <v>0</v>
      </c>
      <c r="F184" s="7" t="n">
        <v>0</v>
      </c>
      <c r="G184" s="7" t="n">
        <v>0</v>
      </c>
      <c r="H184" s="7" t="n">
        <v>26.5</v>
      </c>
    </row>
    <row r="185">
      <c r="A185" s="6" t="inlineStr">
        <is>
          <t>C BABU EOLL</t>
        </is>
      </c>
      <c r="B185" s="6" t="inlineStr">
        <is>
          <t>A-EL PROD FORMING</t>
        </is>
      </c>
      <c r="C185" s="7" t="n">
        <v>0</v>
      </c>
      <c r="D185" s="7" t="n">
        <v>30.75</v>
      </c>
      <c r="E185" s="7" t="n">
        <v>0</v>
      </c>
      <c r="F185" s="7" t="n">
        <v>0</v>
      </c>
      <c r="G185" s="7" t="n">
        <v>0</v>
      </c>
      <c r="H185" s="7" t="n">
        <v>30.75</v>
      </c>
    </row>
    <row r="186">
      <c r="A186" s="6" t="inlineStr">
        <is>
          <t>P JASVANT SOLANKI EOLL</t>
        </is>
      </c>
      <c r="B186" s="6" t="inlineStr">
        <is>
          <t>A-EL PROD FORMING</t>
        </is>
      </c>
      <c r="C186" s="7" t="n">
        <v>0</v>
      </c>
      <c r="D186" s="7" t="n">
        <v>26.25</v>
      </c>
      <c r="E186" s="7" t="n">
        <v>0</v>
      </c>
      <c r="F186" s="7" t="n">
        <v>0</v>
      </c>
      <c r="G186" s="7" t="n">
        <v>0</v>
      </c>
      <c r="H186" s="7" t="n">
        <v>26.25</v>
      </c>
    </row>
    <row r="187">
      <c r="A187" s="6" t="inlineStr">
        <is>
          <t>R KANUBHAI PATEL EOLL</t>
        </is>
      </c>
      <c r="B187" s="6" t="inlineStr">
        <is>
          <t>A-EL PROD FORMING</t>
        </is>
      </c>
      <c r="C187" s="7" t="n">
        <v>0</v>
      </c>
      <c r="D187" s="7" t="n">
        <v>0</v>
      </c>
      <c r="E187" s="7" t="n">
        <v>0</v>
      </c>
      <c r="F187" s="7" t="n">
        <v>0</v>
      </c>
      <c r="G187" s="7" t="n">
        <v>0</v>
      </c>
      <c r="H187" s="7" t="n">
        <v>0</v>
      </c>
    </row>
    <row r="188">
      <c r="A188" s="6" t="inlineStr">
        <is>
          <t>S DEVA EOLL</t>
        </is>
      </c>
      <c r="B188" s="6" t="inlineStr">
        <is>
          <t>A-EL PROD FRYING</t>
        </is>
      </c>
      <c r="C188" s="7" t="n">
        <v>0</v>
      </c>
      <c r="D188" s="7" t="n">
        <v>26.75</v>
      </c>
      <c r="E188" s="7" t="n">
        <v>0</v>
      </c>
      <c r="F188" s="7" t="n">
        <v>3.5</v>
      </c>
      <c r="G188" s="7" t="n">
        <v>0</v>
      </c>
      <c r="H188" s="7" t="n">
        <v>30.25</v>
      </c>
    </row>
    <row r="189">
      <c r="A189" s="6" t="inlineStr">
        <is>
          <t>R KALPESHKUMAR EOLL</t>
        </is>
      </c>
      <c r="B189" s="6" t="inlineStr">
        <is>
          <t>A-EL PROD FRYING</t>
        </is>
      </c>
      <c r="C189" s="7" t="n">
        <v>0</v>
      </c>
      <c r="D189" s="7" t="n">
        <v>32.5</v>
      </c>
      <c r="E189" s="7" t="n">
        <v>0</v>
      </c>
      <c r="F189" s="7" t="n">
        <v>0</v>
      </c>
      <c r="G189" s="7" t="n">
        <v>0</v>
      </c>
      <c r="H189" s="7" t="n">
        <v>32.5</v>
      </c>
    </row>
    <row r="190">
      <c r="A190" s="6" t="inlineStr">
        <is>
          <t>P PRADIPKUMAR EOLL</t>
        </is>
      </c>
      <c r="B190" s="6" t="inlineStr">
        <is>
          <t>A-EL PROD FRYING</t>
        </is>
      </c>
      <c r="C190" s="7" t="n">
        <v>0</v>
      </c>
      <c r="D190" s="7" t="n">
        <v>39.25</v>
      </c>
      <c r="E190" s="7" t="n">
        <v>0</v>
      </c>
      <c r="F190" s="7" t="n">
        <v>3.25</v>
      </c>
      <c r="G190" s="7" t="n">
        <v>0</v>
      </c>
      <c r="H190" s="7" t="n">
        <v>42.5</v>
      </c>
    </row>
    <row r="191">
      <c r="A191" s="6" t="inlineStr">
        <is>
          <t>P RAMESH EOLL</t>
        </is>
      </c>
      <c r="B191" s="6" t="inlineStr">
        <is>
          <t>A-EL PROD FRYING</t>
        </is>
      </c>
      <c r="C191" s="7" t="n">
        <v>0</v>
      </c>
      <c r="D191" s="7" t="n">
        <v>40.5</v>
      </c>
      <c r="E191" s="7" t="n">
        <v>0</v>
      </c>
      <c r="F191" s="7" t="n">
        <v>6.75</v>
      </c>
      <c r="G191" s="7" t="n">
        <v>0</v>
      </c>
      <c r="H191" s="7" t="n">
        <v>47.25</v>
      </c>
    </row>
    <row r="192">
      <c r="A192" s="6" t="inlineStr">
        <is>
          <t>G UKARDA BAMANIA EOLL</t>
        </is>
      </c>
      <c r="B192" s="6" t="inlineStr">
        <is>
          <t>A-EL PROD FRYING</t>
        </is>
      </c>
      <c r="C192" s="7" t="n">
        <v>0</v>
      </c>
      <c r="D192" s="7" t="n">
        <v>41.25</v>
      </c>
      <c r="E192" s="7" t="n">
        <v>2.5</v>
      </c>
      <c r="F192" s="7" t="n">
        <v>6.5</v>
      </c>
      <c r="G192" s="7" t="n">
        <v>0</v>
      </c>
      <c r="H192" s="7" t="n">
        <v>50.25</v>
      </c>
    </row>
    <row r="193">
      <c r="A193" s="6" t="inlineStr">
        <is>
          <t>C ALMEIDA EOLL</t>
        </is>
      </c>
      <c r="B193" s="6" t="inlineStr">
        <is>
          <t>A-EL PROD PREPARATION</t>
        </is>
      </c>
      <c r="C193" s="7" t="n">
        <v>0</v>
      </c>
      <c r="D193" s="7" t="n">
        <v>41.25</v>
      </c>
      <c r="E193" s="7" t="n">
        <v>1.75</v>
      </c>
      <c r="F193" s="7" t="n">
        <v>4</v>
      </c>
      <c r="G193" s="7" t="n">
        <v>0</v>
      </c>
      <c r="H193" s="7" t="n">
        <v>47</v>
      </c>
    </row>
    <row r="194">
      <c r="A194" s="6" t="inlineStr">
        <is>
          <t>K BABU EOLL</t>
        </is>
      </c>
      <c r="B194" s="6" t="inlineStr">
        <is>
          <t>A-EL PROD PREPARATION</t>
        </is>
      </c>
      <c r="C194" s="7" t="n">
        <v>0</v>
      </c>
      <c r="D194" s="7" t="n">
        <v>36.75</v>
      </c>
      <c r="E194" s="7" t="n">
        <v>0</v>
      </c>
      <c r="F194" s="7" t="n">
        <v>3.5</v>
      </c>
      <c r="G194" s="7" t="n">
        <v>0</v>
      </c>
      <c r="H194" s="7" t="n">
        <v>40.25</v>
      </c>
    </row>
    <row r="195">
      <c r="A195" s="6" t="inlineStr">
        <is>
          <t>V CARSANE EOLL</t>
        </is>
      </c>
      <c r="B195" s="6" t="inlineStr">
        <is>
          <t>A-EL PROD PREPARATION</t>
        </is>
      </c>
      <c r="C195" s="7" t="n">
        <v>0</v>
      </c>
      <c r="D195" s="7" t="n">
        <v>22.25</v>
      </c>
      <c r="E195" s="7" t="n">
        <v>0</v>
      </c>
      <c r="F195" s="7" t="n">
        <v>0</v>
      </c>
      <c r="G195" s="7" t="n">
        <v>0</v>
      </c>
      <c r="H195" s="7" t="n">
        <v>22.25</v>
      </c>
    </row>
    <row r="196">
      <c r="A196" s="6" t="inlineStr">
        <is>
          <t>F DA CUNHA EOLL</t>
        </is>
      </c>
      <c r="B196" s="6" t="inlineStr">
        <is>
          <t>A-EL PROD PREPARATION</t>
        </is>
      </c>
      <c r="C196" s="7" t="n">
        <v>0</v>
      </c>
      <c r="D196" s="7" t="n">
        <v>34.25</v>
      </c>
      <c r="E196" s="7" t="n">
        <v>0</v>
      </c>
      <c r="F196" s="7" t="n">
        <v>4</v>
      </c>
      <c r="G196" s="7" t="n">
        <v>0</v>
      </c>
      <c r="H196" s="7" t="n">
        <v>38.25</v>
      </c>
    </row>
    <row r="197">
      <c r="A197" s="6" t="inlineStr">
        <is>
          <t>S DATTA EOLL</t>
        </is>
      </c>
      <c r="B197" s="6" t="inlineStr">
        <is>
          <t>A-EL PROD PREPARATION</t>
        </is>
      </c>
      <c r="C197" s="7" t="n">
        <v>0</v>
      </c>
      <c r="D197" s="7" t="n">
        <v>0</v>
      </c>
      <c r="E197" s="7" t="n">
        <v>0</v>
      </c>
      <c r="F197" s="7" t="n">
        <v>0</v>
      </c>
      <c r="G197" s="7" t="n">
        <v>0</v>
      </c>
      <c r="H197" s="7" t="n">
        <v>0</v>
      </c>
    </row>
    <row r="198">
      <c r="A198" s="6" t="inlineStr">
        <is>
          <t>A GIRI EOLL</t>
        </is>
      </c>
      <c r="B198" s="6" t="inlineStr">
        <is>
          <t>A-EL PROD PREPARATION</t>
        </is>
      </c>
      <c r="C198" s="7" t="n">
        <v>0</v>
      </c>
      <c r="D198" s="7" t="n">
        <v>41.25</v>
      </c>
      <c r="E198" s="7" t="n">
        <v>1.5</v>
      </c>
      <c r="F198" s="7" t="n">
        <v>4</v>
      </c>
      <c r="G198" s="7" t="n">
        <v>0</v>
      </c>
      <c r="H198" s="7" t="n">
        <v>46.75</v>
      </c>
    </row>
    <row r="199">
      <c r="A199" s="6" t="inlineStr">
        <is>
          <t>D LOBO EOLL</t>
        </is>
      </c>
      <c r="B199" s="6" t="inlineStr">
        <is>
          <t>A-EL PROD PREPARATION</t>
        </is>
      </c>
      <c r="C199" s="7" t="n">
        <v>0</v>
      </c>
      <c r="D199" s="7" t="n">
        <v>21.25</v>
      </c>
      <c r="E199" s="7" t="n">
        <v>0</v>
      </c>
      <c r="F199" s="7" t="n">
        <v>0</v>
      </c>
      <c r="G199" s="7" t="n">
        <v>0</v>
      </c>
      <c r="H199" s="7" t="n">
        <v>21.25</v>
      </c>
    </row>
    <row r="200">
      <c r="A200" s="6" t="inlineStr">
        <is>
          <t>D PREMJI EOLL</t>
        </is>
      </c>
      <c r="B200" s="6" t="inlineStr">
        <is>
          <t>A-EL PROD PREPARATION</t>
        </is>
      </c>
      <c r="C200" s="7" t="n">
        <v>0</v>
      </c>
      <c r="D200" s="7" t="n">
        <v>41.25</v>
      </c>
      <c r="E200" s="7" t="n">
        <v>1.5</v>
      </c>
      <c r="F200" s="7" t="n">
        <v>4</v>
      </c>
      <c r="G200" s="7" t="n">
        <v>0</v>
      </c>
      <c r="H200" s="7" t="n">
        <v>46.75</v>
      </c>
    </row>
    <row r="201">
      <c r="A201" s="6" t="inlineStr">
        <is>
          <t>K RAMESHBHAI VEKARIA EOLL</t>
        </is>
      </c>
      <c r="B201" s="6" t="inlineStr">
        <is>
          <t>A-EL TECHNICAL</t>
        </is>
      </c>
      <c r="C201" s="7" t="n">
        <v>0</v>
      </c>
      <c r="D201" s="7" t="n">
        <v>40</v>
      </c>
      <c r="E201" s="7" t="n">
        <v>7.5</v>
      </c>
      <c r="F201" s="7" t="n">
        <v>0</v>
      </c>
      <c r="G201" s="7" t="n">
        <v>0</v>
      </c>
      <c r="H201" s="7" t="n">
        <v>47.5</v>
      </c>
    </row>
    <row r="202">
      <c r="A202" s="6" t="inlineStr">
        <is>
          <t>P VAISHYA EOLL</t>
        </is>
      </c>
      <c r="B202" s="6" t="inlineStr">
        <is>
          <t>A-EL WRHS</t>
        </is>
      </c>
      <c r="C202" s="7" t="n">
        <v>0</v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</row>
    <row r="203">
      <c r="A203" s="6" t="inlineStr">
        <is>
          <t>T CARVALHO PRIDE MANAGEMENT</t>
        </is>
      </c>
      <c r="B203" s="6" t="inlineStr">
        <is>
          <t>A-PM PKNG HIGH_RISK</t>
        </is>
      </c>
      <c r="C203" s="7" t="n">
        <v>0</v>
      </c>
      <c r="D203" s="7" t="n">
        <v>37.75</v>
      </c>
      <c r="E203" s="7" t="n">
        <v>0</v>
      </c>
      <c r="F203" s="7" t="n">
        <v>6.75</v>
      </c>
      <c r="G203" s="7" t="n">
        <v>0</v>
      </c>
      <c r="H203" s="7" t="n">
        <v>44.5</v>
      </c>
    </row>
    <row r="204">
      <c r="A204" s="6" t="inlineStr">
        <is>
          <t>V KALSARIYA RESPONSE</t>
        </is>
      </c>
      <c r="B204" s="6" t="inlineStr">
        <is>
          <t>A-RS PKNG SLEEVING</t>
        </is>
      </c>
      <c r="C204" s="7" t="n">
        <v>0</v>
      </c>
      <c r="D204" s="7" t="n">
        <v>7.5</v>
      </c>
      <c r="E204" s="7" t="n">
        <v>0</v>
      </c>
      <c r="F204" s="7" t="n">
        <v>0</v>
      </c>
      <c r="G204" s="7" t="n">
        <v>0</v>
      </c>
      <c r="H204" s="7" t="n">
        <v>7.5</v>
      </c>
    </row>
    <row r="205">
      <c r="A205" s="6" t="inlineStr">
        <is>
          <t>S SINGH RESPONSE</t>
        </is>
      </c>
      <c r="B205" s="6" t="inlineStr">
        <is>
          <t>A-RS PROD BELT</t>
        </is>
      </c>
      <c r="C205" s="7" t="n">
        <v>0</v>
      </c>
      <c r="D205" s="7" t="n">
        <v>27</v>
      </c>
      <c r="E205" s="7" t="n">
        <v>0</v>
      </c>
      <c r="F205" s="7" t="n">
        <v>0</v>
      </c>
      <c r="G205" s="7" t="n">
        <v>0</v>
      </c>
      <c r="H205" s="7" t="n">
        <v>27</v>
      </c>
    </row>
    <row r="206">
      <c r="A206" s="6" t="inlineStr">
        <is>
          <t>H SONAWANE RESPONSE</t>
        </is>
      </c>
      <c r="B206" s="6" t="inlineStr">
        <is>
          <t>A-RS PROD BELT</t>
        </is>
      </c>
      <c r="C206" s="7" t="n">
        <v>0</v>
      </c>
      <c r="D206" s="7" t="n">
        <v>26.25</v>
      </c>
      <c r="E206" s="7" t="n">
        <v>0</v>
      </c>
      <c r="F206" s="7" t="n">
        <v>0</v>
      </c>
      <c r="G206" s="7" t="n">
        <v>0</v>
      </c>
      <c r="H206" s="7" t="n">
        <v>26.25</v>
      </c>
    </row>
    <row r="207">
      <c r="A207" s="6" t="inlineStr">
        <is>
          <t>A VAHORA RESPONSE</t>
        </is>
      </c>
      <c r="B207" s="6" t="inlineStr">
        <is>
          <t>A-RS PROD BELT</t>
        </is>
      </c>
      <c r="C207" s="7" t="n">
        <v>0</v>
      </c>
      <c r="D207" s="7" t="n">
        <v>0</v>
      </c>
      <c r="E207" s="7" t="n">
        <v>0</v>
      </c>
      <c r="F207" s="7" t="n">
        <v>0</v>
      </c>
      <c r="G207" s="7" t="n">
        <v>0</v>
      </c>
      <c r="H207" s="7" t="n">
        <v>0</v>
      </c>
    </row>
    <row r="208">
      <c r="A208" s="6" t="inlineStr">
        <is>
          <t>A DABGAR RESPONSE</t>
        </is>
      </c>
      <c r="B208" s="6" t="inlineStr">
        <is>
          <t>A-RS PROD FRYING</t>
        </is>
      </c>
      <c r="C208" s="7" t="n">
        <v>0</v>
      </c>
      <c r="D208" s="7" t="n">
        <v>0</v>
      </c>
      <c r="E208" s="7" t="n">
        <v>0</v>
      </c>
      <c r="F208" s="7" t="n">
        <v>0</v>
      </c>
      <c r="G208" s="7" t="n">
        <v>0</v>
      </c>
      <c r="H208" s="7" t="n">
        <v>0</v>
      </c>
    </row>
    <row r="210">
      <c r="A210" s="3" t="inlineStr">
        <is>
          <t>Adjustments (0)</t>
        </is>
      </c>
    </row>
    <row r="211">
      <c r="A211" s="4" t="inlineStr">
        <is>
          <t>Manual hour corrections recorded in the legacy weekly file.</t>
        </is>
      </c>
    </row>
    <row r="212">
      <c r="B212" s="5" t="inlineStr">
        <is>
          <t>Name</t>
        </is>
      </c>
      <c r="C212" s="5" t="inlineStr">
        <is>
          <t>Type</t>
        </is>
      </c>
      <c r="D212" s="5" t="inlineStr">
        <is>
          <t>Value</t>
        </is>
      </c>
    </row>
    <row r="214">
      <c r="A214" s="3" t="inlineStr">
        <is>
          <t>Category totals</t>
        </is>
      </c>
    </row>
    <row r="215">
      <c r="A215" s="4" t="inlineStr">
        <is>
          <t>Sum of hours by work category for this week (SUMIFS from employee rows above).</t>
        </is>
      </c>
    </row>
    <row r="216">
      <c r="A216" s="5" t="n"/>
      <c r="B216" s="5" t="inlineStr">
        <is>
          <t>Category</t>
        </is>
      </c>
      <c r="C216" s="5" t="n"/>
      <c r="D216" s="5" t="inlineStr">
        <is>
          <t>Basic hours</t>
        </is>
      </c>
      <c r="E216" s="5" t="inlineStr">
        <is>
          <t>Mon–Fri overtime</t>
        </is>
      </c>
      <c r="F216" s="5" t="inlineStr">
        <is>
          <t>Sat/Sun overtime</t>
        </is>
      </c>
      <c r="G216" s="5" t="inlineStr">
        <is>
          <t>Annual holiday</t>
        </is>
      </c>
      <c r="H216" s="5" t="inlineStr">
        <is>
          <t>Total paid hours</t>
        </is>
      </c>
    </row>
    <row r="217">
      <c r="A217" s="6" t="n"/>
      <c r="B217" s="6" t="inlineStr">
        <is>
          <t>CLNR</t>
        </is>
      </c>
      <c r="C217" s="6" t="n"/>
      <c r="D217" s="7">
        <f>SUMIFS($D$7:$D$208,$B$7:$B$208,$B217)</f>
        <v/>
      </c>
      <c r="E217" s="7">
        <f>SUMIFS($E$7:$E$208,$B$7:$B$208,$B217)</f>
        <v/>
      </c>
      <c r="F217" s="7">
        <f>SUMIFS($F$7:$F$208,$B$7:$B$208,$B217)</f>
        <v/>
      </c>
      <c r="G217" s="7">
        <f>SUMIFS($G$7:$G$208,$B$7:$B$208,$B217)</f>
        <v/>
      </c>
      <c r="H217" s="7">
        <f>SUMIFS($H$7:$H$208,$B$7:$B$208,$B217)</f>
        <v/>
      </c>
    </row>
    <row r="218">
      <c r="A218" s="6" t="n"/>
      <c r="B218" s="6" t="inlineStr">
        <is>
          <t>DPCH</t>
        </is>
      </c>
      <c r="C218" s="6" t="n"/>
      <c r="D218" s="7">
        <f>SUMIFS($D$7:$D$208,$B$7:$B$208,$B218)</f>
        <v/>
      </c>
      <c r="E218" s="7">
        <f>SUMIFS($E$7:$E$208,$B$7:$B$208,$B218)</f>
        <v/>
      </c>
      <c r="F218" s="7">
        <f>SUMIFS($F$7:$F$208,$B$7:$B$208,$B218)</f>
        <v/>
      </c>
      <c r="G218" s="7">
        <f>SUMIFS($G$7:$G$208,$B$7:$B$208,$B218)</f>
        <v/>
      </c>
      <c r="H218" s="7">
        <f>SUMIFS($H$7:$H$208,$B$7:$B$208,$B218)</f>
        <v/>
      </c>
    </row>
    <row r="219">
      <c r="A219" s="6" t="n"/>
      <c r="B219" s="6" t="inlineStr">
        <is>
          <t>OFCE</t>
        </is>
      </c>
      <c r="C219" s="6" t="n"/>
      <c r="D219" s="7">
        <f>SUMIFS($D$7:$D$208,$B$7:$B$208,$B219)</f>
        <v/>
      </c>
      <c r="E219" s="7">
        <f>SUMIFS($E$7:$E$208,$B$7:$B$208,$B219)</f>
        <v/>
      </c>
      <c r="F219" s="7">
        <f>SUMIFS($F$7:$F$208,$B$7:$B$208,$B219)</f>
        <v/>
      </c>
      <c r="G219" s="7">
        <f>SUMIFS($G$7:$G$208,$B$7:$B$208,$B219)</f>
        <v/>
      </c>
      <c r="H219" s="7">
        <f>SUMIFS($H$7:$H$208,$B$7:$B$208,$B219)</f>
        <v/>
      </c>
    </row>
    <row r="220">
      <c r="A220" s="6" t="n"/>
      <c r="B220" s="6" t="inlineStr">
        <is>
          <t>PKNG HIGH_RISK</t>
        </is>
      </c>
      <c r="C220" s="6" t="n"/>
      <c r="D220" s="7">
        <f>SUMIFS($D$7:$D$208,$B$7:$B$208,$B220)</f>
        <v/>
      </c>
      <c r="E220" s="7">
        <f>SUMIFS($E$7:$E$208,$B$7:$B$208,$B220)</f>
        <v/>
      </c>
      <c r="F220" s="7">
        <f>SUMIFS($F$7:$F$208,$B$7:$B$208,$B220)</f>
        <v/>
      </c>
      <c r="G220" s="7">
        <f>SUMIFS($G$7:$G$208,$B$7:$B$208,$B220)</f>
        <v/>
      </c>
      <c r="H220" s="7">
        <f>SUMIFS($H$7:$H$208,$B$7:$B$208,$B220)</f>
        <v/>
      </c>
    </row>
    <row r="221">
      <c r="A221" s="6" t="n"/>
      <c r="B221" s="6" t="inlineStr">
        <is>
          <t>PKNG SLEEVING</t>
        </is>
      </c>
      <c r="C221" s="6" t="n"/>
      <c r="D221" s="7">
        <f>SUMIFS($D$7:$D$208,$B$7:$B$208,$B221)</f>
        <v/>
      </c>
      <c r="E221" s="7">
        <f>SUMIFS($E$7:$E$208,$B$7:$B$208,$B221)</f>
        <v/>
      </c>
      <c r="F221" s="7">
        <f>SUMIFS($F$7:$F$208,$B$7:$B$208,$B221)</f>
        <v/>
      </c>
      <c r="G221" s="7">
        <f>SUMIFS($G$7:$G$208,$B$7:$B$208,$B221)</f>
        <v/>
      </c>
      <c r="H221" s="7">
        <f>SUMIFS($H$7:$H$208,$B$7:$B$208,$B221)</f>
        <v/>
      </c>
    </row>
    <row r="222">
      <c r="A222" s="6" t="n"/>
      <c r="B222" s="6" t="inlineStr">
        <is>
          <t>PROD BELT</t>
        </is>
      </c>
      <c r="C222" s="6" t="n"/>
      <c r="D222" s="7">
        <f>SUMIFS($D$7:$D$208,$B$7:$B$208,$B222)</f>
        <v/>
      </c>
      <c r="E222" s="7">
        <f>SUMIFS($E$7:$E$208,$B$7:$B$208,$B222)</f>
        <v/>
      </c>
      <c r="F222" s="7">
        <f>SUMIFS($F$7:$F$208,$B$7:$B$208,$B222)</f>
        <v/>
      </c>
      <c r="G222" s="7">
        <f>SUMIFS($G$7:$G$208,$B$7:$B$208,$B222)</f>
        <v/>
      </c>
      <c r="H222" s="7">
        <f>SUMIFS($H$7:$H$208,$B$7:$B$208,$B222)</f>
        <v/>
      </c>
    </row>
    <row r="223">
      <c r="A223" s="6" t="n"/>
      <c r="B223" s="6" t="inlineStr">
        <is>
          <t>PROD FORMING</t>
        </is>
      </c>
      <c r="C223" s="6" t="n"/>
      <c r="D223" s="7">
        <f>SUMIFS($D$7:$D$208,$B$7:$B$208,$B223)</f>
        <v/>
      </c>
      <c r="E223" s="7">
        <f>SUMIFS($E$7:$E$208,$B$7:$B$208,$B223)</f>
        <v/>
      </c>
      <c r="F223" s="7">
        <f>SUMIFS($F$7:$F$208,$B$7:$B$208,$B223)</f>
        <v/>
      </c>
      <c r="G223" s="7">
        <f>SUMIFS($G$7:$G$208,$B$7:$B$208,$B223)</f>
        <v/>
      </c>
      <c r="H223" s="7">
        <f>SUMIFS($H$7:$H$208,$B$7:$B$208,$B223)</f>
        <v/>
      </c>
    </row>
    <row r="224">
      <c r="A224" s="6" t="n"/>
      <c r="B224" s="6" t="inlineStr">
        <is>
          <t>PROD FRYING</t>
        </is>
      </c>
      <c r="C224" s="6" t="n"/>
      <c r="D224" s="7">
        <f>SUMIFS($D$7:$D$208,$B$7:$B$208,$B224)</f>
        <v/>
      </c>
      <c r="E224" s="7">
        <f>SUMIFS($E$7:$E$208,$B$7:$B$208,$B224)</f>
        <v/>
      </c>
      <c r="F224" s="7">
        <f>SUMIFS($F$7:$F$208,$B$7:$B$208,$B224)</f>
        <v/>
      </c>
      <c r="G224" s="7">
        <f>SUMIFS($G$7:$G$208,$B$7:$B$208,$B224)</f>
        <v/>
      </c>
      <c r="H224" s="7">
        <f>SUMIFS($H$7:$H$208,$B$7:$B$208,$B224)</f>
        <v/>
      </c>
    </row>
    <row r="225">
      <c r="A225" s="6" t="n"/>
      <c r="B225" s="6" t="inlineStr">
        <is>
          <t>PROD PREPARATION</t>
        </is>
      </c>
      <c r="C225" s="6" t="n"/>
      <c r="D225" s="7">
        <f>SUMIFS($D$7:$D$208,$B$7:$B$208,$B225)</f>
        <v/>
      </c>
      <c r="E225" s="7">
        <f>SUMIFS($E$7:$E$208,$B$7:$B$208,$B225)</f>
        <v/>
      </c>
      <c r="F225" s="7">
        <f>SUMIFS($F$7:$F$208,$B$7:$B$208,$B225)</f>
        <v/>
      </c>
      <c r="G225" s="7">
        <f>SUMIFS($G$7:$G$208,$B$7:$B$208,$B225)</f>
        <v/>
      </c>
      <c r="H225" s="7">
        <f>SUMIFS($H$7:$H$208,$B$7:$B$208,$B225)</f>
        <v/>
      </c>
    </row>
    <row r="226">
      <c r="A226" s="6" t="n"/>
      <c r="B226" s="6" t="inlineStr">
        <is>
          <t>PROD TABLE</t>
        </is>
      </c>
      <c r="C226" s="6" t="n"/>
      <c r="D226" s="7">
        <f>SUMIFS($D$7:$D$208,$B$7:$B$208,$B226)</f>
        <v/>
      </c>
      <c r="E226" s="7">
        <f>SUMIFS($E$7:$E$208,$B$7:$B$208,$B226)</f>
        <v/>
      </c>
      <c r="F226" s="7">
        <f>SUMIFS($F$7:$F$208,$B$7:$B$208,$B226)</f>
        <v/>
      </c>
      <c r="G226" s="7">
        <f>SUMIFS($G$7:$G$208,$B$7:$B$208,$B226)</f>
        <v/>
      </c>
      <c r="H226" s="7">
        <f>SUMIFS($H$7:$H$208,$B$7:$B$208,$B226)</f>
        <v/>
      </c>
    </row>
    <row r="227">
      <c r="A227" s="6" t="n"/>
      <c r="B227" s="6" t="inlineStr">
        <is>
          <t>TECH TECHNICAL</t>
        </is>
      </c>
      <c r="C227" s="6" t="n"/>
      <c r="D227" s="7">
        <f>SUMIFS($D$7:$D$208,$B$7:$B$208,$B227)</f>
        <v/>
      </c>
      <c r="E227" s="7">
        <f>SUMIFS($E$7:$E$208,$B$7:$B$208,$B227)</f>
        <v/>
      </c>
      <c r="F227" s="7">
        <f>SUMIFS($F$7:$F$208,$B$7:$B$208,$B227)</f>
        <v/>
      </c>
      <c r="G227" s="7">
        <f>SUMIFS($G$7:$G$208,$B$7:$B$208,$B227)</f>
        <v/>
      </c>
      <c r="H227" s="7">
        <f>SUMIFS($H$7:$H$208,$B$7:$B$208,$B227)</f>
        <v/>
      </c>
    </row>
    <row r="228">
      <c r="A228" s="6" t="n"/>
      <c r="B228" s="6" t="inlineStr">
        <is>
          <t>WRHS</t>
        </is>
      </c>
      <c r="C228" s="6" t="n"/>
      <c r="D228" s="7">
        <f>SUMIFS($D$7:$D$208,$B$7:$B$208,$B228)</f>
        <v/>
      </c>
      <c r="E228" s="7">
        <f>SUMIFS($E$7:$E$208,$B$7:$B$208,$B228)</f>
        <v/>
      </c>
      <c r="F228" s="7">
        <f>SUMIFS($F$7:$F$208,$B$7:$B$208,$B228)</f>
        <v/>
      </c>
      <c r="G228" s="7">
        <f>SUMIFS($G$7:$G$208,$B$7:$B$208,$B228)</f>
        <v/>
      </c>
      <c r="H228" s="7">
        <f>SUMIFS($H$7:$H$208,$B$7:$B$208,$B228)</f>
        <v/>
      </c>
    </row>
    <row r="229">
      <c r="A229" s="6" t="n"/>
      <c r="B229" s="6" t="inlineStr">
        <is>
          <t>A-EL CLNR</t>
        </is>
      </c>
      <c r="C229" s="6" t="n"/>
      <c r="D229" s="7">
        <f>SUMIFS($D$7:$D$208,$B$7:$B$208,$B229)</f>
        <v/>
      </c>
      <c r="E229" s="7">
        <f>SUMIFS($E$7:$E$208,$B$7:$B$208,$B229)</f>
        <v/>
      </c>
      <c r="F229" s="7">
        <f>SUMIFS($F$7:$F$208,$B$7:$B$208,$B229)</f>
        <v/>
      </c>
      <c r="G229" s="7">
        <f>SUMIFS($G$7:$G$208,$B$7:$B$208,$B229)</f>
        <v/>
      </c>
      <c r="H229" s="7">
        <f>SUMIFS($H$7:$H$208,$B$7:$B$208,$B229)</f>
        <v/>
      </c>
    </row>
    <row r="230">
      <c r="A230" s="6" t="n"/>
      <c r="B230" s="6" t="inlineStr">
        <is>
          <t>A-EL DPCH</t>
        </is>
      </c>
      <c r="C230" s="6" t="n"/>
      <c r="D230" s="7">
        <f>SUMIFS($D$7:$D$208,$B$7:$B$208,$B230)</f>
        <v/>
      </c>
      <c r="E230" s="7">
        <f>SUMIFS($E$7:$E$208,$B$7:$B$208,$B230)</f>
        <v/>
      </c>
      <c r="F230" s="7">
        <f>SUMIFS($F$7:$F$208,$B$7:$B$208,$B230)</f>
        <v/>
      </c>
      <c r="G230" s="7">
        <f>SUMIFS($G$7:$G$208,$B$7:$B$208,$B230)</f>
        <v/>
      </c>
      <c r="H230" s="7">
        <f>SUMIFS($H$7:$H$208,$B$7:$B$208,$B230)</f>
        <v/>
      </c>
    </row>
    <row r="231">
      <c r="A231" s="6" t="n"/>
      <c r="B231" s="6" t="inlineStr">
        <is>
          <t>A-EL PKNG HIGH_RISK</t>
        </is>
      </c>
      <c r="C231" s="6" t="n"/>
      <c r="D231" s="7">
        <f>SUMIFS($D$7:$D$208,$B$7:$B$208,$B231)</f>
        <v/>
      </c>
      <c r="E231" s="7">
        <f>SUMIFS($E$7:$E$208,$B$7:$B$208,$B231)</f>
        <v/>
      </c>
      <c r="F231" s="7">
        <f>SUMIFS($F$7:$F$208,$B$7:$B$208,$B231)</f>
        <v/>
      </c>
      <c r="G231" s="7">
        <f>SUMIFS($G$7:$G$208,$B$7:$B$208,$B231)</f>
        <v/>
      </c>
      <c r="H231" s="7">
        <f>SUMIFS($H$7:$H$208,$B$7:$B$208,$B231)</f>
        <v/>
      </c>
    </row>
    <row r="232">
      <c r="A232" s="6" t="n"/>
      <c r="B232" s="6" t="inlineStr">
        <is>
          <t>A-EL PKNG SLEEVING</t>
        </is>
      </c>
      <c r="C232" s="6" t="n"/>
      <c r="D232" s="7">
        <f>SUMIFS($D$7:$D$208,$B$7:$B$208,$B232)</f>
        <v/>
      </c>
      <c r="E232" s="7">
        <f>SUMIFS($E$7:$E$208,$B$7:$B$208,$B232)</f>
        <v/>
      </c>
      <c r="F232" s="7">
        <f>SUMIFS($F$7:$F$208,$B$7:$B$208,$B232)</f>
        <v/>
      </c>
      <c r="G232" s="7">
        <f>SUMIFS($G$7:$G$208,$B$7:$B$208,$B232)</f>
        <v/>
      </c>
      <c r="H232" s="7">
        <f>SUMIFS($H$7:$H$208,$B$7:$B$208,$B232)</f>
        <v/>
      </c>
    </row>
    <row r="233">
      <c r="A233" s="6" t="n"/>
      <c r="B233" s="6" t="inlineStr">
        <is>
          <t>A-EL PROD BELT</t>
        </is>
      </c>
      <c r="C233" s="6" t="n"/>
      <c r="D233" s="7">
        <f>SUMIFS($D$7:$D$208,$B$7:$B$208,$B233)</f>
        <v/>
      </c>
      <c r="E233" s="7">
        <f>SUMIFS($E$7:$E$208,$B$7:$B$208,$B233)</f>
        <v/>
      </c>
      <c r="F233" s="7">
        <f>SUMIFS($F$7:$F$208,$B$7:$B$208,$B233)</f>
        <v/>
      </c>
      <c r="G233" s="7">
        <f>SUMIFS($G$7:$G$208,$B$7:$B$208,$B233)</f>
        <v/>
      </c>
      <c r="H233" s="7">
        <f>SUMIFS($H$7:$H$208,$B$7:$B$208,$B233)</f>
        <v/>
      </c>
    </row>
    <row r="234">
      <c r="A234" s="6" t="n"/>
      <c r="B234" s="6" t="inlineStr">
        <is>
          <t>A-EL PROD FORMING</t>
        </is>
      </c>
      <c r="C234" s="6" t="n"/>
      <c r="D234" s="7">
        <f>SUMIFS($D$7:$D$208,$B$7:$B$208,$B234)</f>
        <v/>
      </c>
      <c r="E234" s="7">
        <f>SUMIFS($E$7:$E$208,$B$7:$B$208,$B234)</f>
        <v/>
      </c>
      <c r="F234" s="7">
        <f>SUMIFS($F$7:$F$208,$B$7:$B$208,$B234)</f>
        <v/>
      </c>
      <c r="G234" s="7">
        <f>SUMIFS($G$7:$G$208,$B$7:$B$208,$B234)</f>
        <v/>
      </c>
      <c r="H234" s="7">
        <f>SUMIFS($H$7:$H$208,$B$7:$B$208,$B234)</f>
        <v/>
      </c>
    </row>
    <row r="235">
      <c r="A235" s="6" t="n"/>
      <c r="B235" s="6" t="inlineStr">
        <is>
          <t>A-EL PROD FRYING</t>
        </is>
      </c>
      <c r="C235" s="6" t="n"/>
      <c r="D235" s="7">
        <f>SUMIFS($D$7:$D$208,$B$7:$B$208,$B235)</f>
        <v/>
      </c>
      <c r="E235" s="7">
        <f>SUMIFS($E$7:$E$208,$B$7:$B$208,$B235)</f>
        <v/>
      </c>
      <c r="F235" s="7">
        <f>SUMIFS($F$7:$F$208,$B$7:$B$208,$B235)</f>
        <v/>
      </c>
      <c r="G235" s="7">
        <f>SUMIFS($G$7:$G$208,$B$7:$B$208,$B235)</f>
        <v/>
      </c>
      <c r="H235" s="7">
        <f>SUMIFS($H$7:$H$208,$B$7:$B$208,$B235)</f>
        <v/>
      </c>
    </row>
    <row r="236">
      <c r="A236" s="6" t="n"/>
      <c r="B236" s="6" t="inlineStr">
        <is>
          <t>A-EL PROD PREPARATION</t>
        </is>
      </c>
      <c r="C236" s="6" t="n"/>
      <c r="D236" s="7">
        <f>SUMIFS($D$7:$D$208,$B$7:$B$208,$B236)</f>
        <v/>
      </c>
      <c r="E236" s="7">
        <f>SUMIFS($E$7:$E$208,$B$7:$B$208,$B236)</f>
        <v/>
      </c>
      <c r="F236" s="7">
        <f>SUMIFS($F$7:$F$208,$B$7:$B$208,$B236)</f>
        <v/>
      </c>
      <c r="G236" s="7">
        <f>SUMIFS($G$7:$G$208,$B$7:$B$208,$B236)</f>
        <v/>
      </c>
      <c r="H236" s="7">
        <f>SUMIFS($H$7:$H$208,$B$7:$B$208,$B236)</f>
        <v/>
      </c>
    </row>
    <row r="237">
      <c r="A237" s="6" t="n"/>
      <c r="B237" s="6" t="inlineStr">
        <is>
          <t>A-EL TECHNICAL</t>
        </is>
      </c>
      <c r="C237" s="6" t="n"/>
      <c r="D237" s="7">
        <f>SUMIFS($D$7:$D$208,$B$7:$B$208,$B237)</f>
        <v/>
      </c>
      <c r="E237" s="7">
        <f>SUMIFS($E$7:$E$208,$B$7:$B$208,$B237)</f>
        <v/>
      </c>
      <c r="F237" s="7">
        <f>SUMIFS($F$7:$F$208,$B$7:$B$208,$B237)</f>
        <v/>
      </c>
      <c r="G237" s="7">
        <f>SUMIFS($G$7:$G$208,$B$7:$B$208,$B237)</f>
        <v/>
      </c>
      <c r="H237" s="7">
        <f>SUMIFS($H$7:$H$208,$B$7:$B$208,$B237)</f>
        <v/>
      </c>
    </row>
    <row r="238">
      <c r="A238" s="6" t="n"/>
      <c r="B238" s="6" t="inlineStr">
        <is>
          <t>A-EL WRHS</t>
        </is>
      </c>
      <c r="C238" s="6" t="n"/>
      <c r="D238" s="7">
        <f>SUMIFS($D$7:$D$208,$B$7:$B$208,$B238)</f>
        <v/>
      </c>
      <c r="E238" s="7">
        <f>SUMIFS($E$7:$E$208,$B$7:$B$208,$B238)</f>
        <v/>
      </c>
      <c r="F238" s="7">
        <f>SUMIFS($F$7:$F$208,$B$7:$B$208,$B238)</f>
        <v/>
      </c>
      <c r="G238" s="7">
        <f>SUMIFS($G$7:$G$208,$B$7:$B$208,$B238)</f>
        <v/>
      </c>
      <c r="H238" s="7">
        <f>SUMIFS($H$7:$H$208,$B$7:$B$208,$B238)</f>
        <v/>
      </c>
    </row>
    <row r="239">
      <c r="A239" s="6" t="n"/>
      <c r="B239" s="6" t="inlineStr">
        <is>
          <t>A-PM PKNG HIGH_RISK</t>
        </is>
      </c>
      <c r="C239" s="6" t="n"/>
      <c r="D239" s="7">
        <f>SUMIFS($D$7:$D$208,$B$7:$B$208,$B239)</f>
        <v/>
      </c>
      <c r="E239" s="7">
        <f>SUMIFS($E$7:$E$208,$B$7:$B$208,$B239)</f>
        <v/>
      </c>
      <c r="F239" s="7">
        <f>SUMIFS($F$7:$F$208,$B$7:$B$208,$B239)</f>
        <v/>
      </c>
      <c r="G239" s="7">
        <f>SUMIFS($G$7:$G$208,$B$7:$B$208,$B239)</f>
        <v/>
      </c>
      <c r="H239" s="7">
        <f>SUMIFS($H$7:$H$208,$B$7:$B$208,$B239)</f>
        <v/>
      </c>
    </row>
    <row r="240">
      <c r="A240" s="6" t="n"/>
      <c r="B240" s="6" t="inlineStr">
        <is>
          <t>A-RS PKNG SLEEVING</t>
        </is>
      </c>
      <c r="C240" s="6" t="n"/>
      <c r="D240" s="7">
        <f>SUMIFS($D$7:$D$208,$B$7:$B$208,$B240)</f>
        <v/>
      </c>
      <c r="E240" s="7">
        <f>SUMIFS($E$7:$E$208,$B$7:$B$208,$B240)</f>
        <v/>
      </c>
      <c r="F240" s="7">
        <f>SUMIFS($F$7:$F$208,$B$7:$B$208,$B240)</f>
        <v/>
      </c>
      <c r="G240" s="7">
        <f>SUMIFS($G$7:$G$208,$B$7:$B$208,$B240)</f>
        <v/>
      </c>
      <c r="H240" s="7">
        <f>SUMIFS($H$7:$H$208,$B$7:$B$208,$B240)</f>
        <v/>
      </c>
    </row>
    <row r="241">
      <c r="A241" s="6" t="n"/>
      <c r="B241" s="6" t="inlineStr">
        <is>
          <t>A-RS PROD BELT</t>
        </is>
      </c>
      <c r="C241" s="6" t="n"/>
      <c r="D241" s="7">
        <f>SUMIFS($D$7:$D$208,$B$7:$B$208,$B241)</f>
        <v/>
      </c>
      <c r="E241" s="7">
        <f>SUMIFS($E$7:$E$208,$B$7:$B$208,$B241)</f>
        <v/>
      </c>
      <c r="F241" s="7">
        <f>SUMIFS($F$7:$F$208,$B$7:$B$208,$B241)</f>
        <v/>
      </c>
      <c r="G241" s="7">
        <f>SUMIFS($G$7:$G$208,$B$7:$B$208,$B241)</f>
        <v/>
      </c>
      <c r="H241" s="7">
        <f>SUMIFS($H$7:$H$208,$B$7:$B$208,$B241)</f>
        <v/>
      </c>
    </row>
    <row r="242">
      <c r="A242" s="6" t="n"/>
      <c r="B242" s="6" t="inlineStr">
        <is>
          <t>A-RS PROD FRYING</t>
        </is>
      </c>
      <c r="C242" s="6" t="n"/>
      <c r="D242" s="7">
        <f>SUMIFS($D$7:$D$208,$B$7:$B$208,$B242)</f>
        <v/>
      </c>
      <c r="E242" s="7">
        <f>SUMIFS($E$7:$E$208,$B$7:$B$208,$B242)</f>
        <v/>
      </c>
      <c r="F242" s="7">
        <f>SUMIFS($F$7:$F$208,$B$7:$B$208,$B242)</f>
        <v/>
      </c>
      <c r="G242" s="7">
        <f>SUMIFS($G$7:$G$208,$B$7:$B$208,$B242)</f>
        <v/>
      </c>
      <c r="H242" s="7">
        <f>SUMIFS($H$7:$H$208,$B$7:$B$208,$B242)</f>
        <v/>
      </c>
    </row>
    <row r="244">
      <c r="A244" s="3" t="inlineStr">
        <is>
          <t>Grouped totals (by category prefix)</t>
        </is>
      </c>
    </row>
    <row r="245">
      <c r="A245" s="4" t="inlineStr">
        <is>
          <t>Categories rolled up to 4-character groups.</t>
        </is>
      </c>
    </row>
    <row r="246">
      <c r="A246" s="5" t="n"/>
      <c r="B246" s="5" t="inlineStr">
        <is>
          <t>Category</t>
        </is>
      </c>
      <c r="C246" s="5" t="n"/>
      <c r="D246" s="5" t="inlineStr">
        <is>
          <t>Basic hours</t>
        </is>
      </c>
      <c r="E246" s="5" t="inlineStr">
        <is>
          <t>Mon–Fri overtime</t>
        </is>
      </c>
      <c r="F246" s="5" t="inlineStr">
        <is>
          <t>Sat/Sun overtime</t>
        </is>
      </c>
      <c r="G246" s="5" t="inlineStr">
        <is>
          <t>Annual holiday</t>
        </is>
      </c>
      <c r="H246" s="5" t="inlineStr">
        <is>
          <t>Total paid hours</t>
        </is>
      </c>
    </row>
    <row r="247">
      <c r="A247" s="6" t="n"/>
      <c r="B247" s="6" t="inlineStr">
        <is>
          <t>A-EL CLNR</t>
        </is>
      </c>
      <c r="C247" s="6" t="n"/>
      <c r="D247" s="7" t="n">
        <v>218.5</v>
      </c>
      <c r="E247" s="7" t="n">
        <v>25.5</v>
      </c>
      <c r="F247" s="7" t="n">
        <v>10.75</v>
      </c>
      <c r="G247" s="7" t="n">
        <v>0</v>
      </c>
      <c r="H247" s="7" t="n">
        <v>254.75</v>
      </c>
    </row>
    <row r="248">
      <c r="A248" s="6" t="n"/>
      <c r="B248" s="6" t="inlineStr">
        <is>
          <t>A-EL DPCH</t>
        </is>
      </c>
      <c r="C248" s="6" t="n"/>
      <c r="D248" s="7" t="n">
        <v>32.5</v>
      </c>
      <c r="E248" s="7" t="n">
        <v>0</v>
      </c>
      <c r="F248" s="7" t="n">
        <v>0</v>
      </c>
      <c r="G248" s="7" t="n">
        <v>0</v>
      </c>
      <c r="H248" s="7" t="n">
        <v>32.5</v>
      </c>
    </row>
    <row r="249">
      <c r="A249" s="6" t="n"/>
      <c r="B249" s="6" t="inlineStr">
        <is>
          <t>A-EL PKNG</t>
        </is>
      </c>
      <c r="C249" s="6" t="n"/>
      <c r="D249" s="7" t="n">
        <v>621.5</v>
      </c>
      <c r="E249" s="7" t="n">
        <v>10.5</v>
      </c>
      <c r="F249" s="7" t="n">
        <v>20.5</v>
      </c>
      <c r="G249" s="7" t="n">
        <v>0</v>
      </c>
      <c r="H249" s="7" t="n">
        <v>652.5</v>
      </c>
    </row>
    <row r="250">
      <c r="A250" s="6" t="n"/>
      <c r="B250" s="6" t="inlineStr">
        <is>
          <t>A-EL PROD</t>
        </is>
      </c>
      <c r="C250" s="6" t="n"/>
      <c r="D250" s="7" t="n">
        <v>854.5</v>
      </c>
      <c r="E250" s="7" t="n">
        <v>7.25</v>
      </c>
      <c r="F250" s="7" t="n">
        <v>39.5</v>
      </c>
      <c r="G250" s="7" t="n">
        <v>0</v>
      </c>
      <c r="H250" s="7" t="n">
        <v>901.25</v>
      </c>
    </row>
    <row r="251">
      <c r="A251" s="6" t="n"/>
      <c r="B251" s="6" t="inlineStr">
        <is>
          <t>A-EL TECH</t>
        </is>
      </c>
      <c r="C251" s="6" t="n"/>
      <c r="D251" s="7" t="n">
        <v>40</v>
      </c>
      <c r="E251" s="7" t="n">
        <v>7.5</v>
      </c>
      <c r="F251" s="7" t="n">
        <v>0</v>
      </c>
      <c r="G251" s="7" t="n">
        <v>0</v>
      </c>
      <c r="H251" s="7" t="n">
        <v>47.5</v>
      </c>
    </row>
    <row r="252">
      <c r="A252" s="6" t="n"/>
      <c r="B252" s="6" t="inlineStr">
        <is>
          <t>A-EL WRHS</t>
        </is>
      </c>
      <c r="C252" s="6" t="n"/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</row>
    <row r="253">
      <c r="A253" s="6" t="n"/>
      <c r="B253" s="6" t="inlineStr">
        <is>
          <t>A-PM PKNG</t>
        </is>
      </c>
      <c r="C253" s="6" t="n"/>
      <c r="D253" s="7" t="n">
        <v>37.75</v>
      </c>
      <c r="E253" s="7" t="n">
        <v>0</v>
      </c>
      <c r="F253" s="7" t="n">
        <v>6.75</v>
      </c>
      <c r="G253" s="7" t="n">
        <v>0</v>
      </c>
      <c r="H253" s="7" t="n">
        <v>44.5</v>
      </c>
    </row>
    <row r="254">
      <c r="A254" s="6" t="n"/>
      <c r="B254" s="6" t="inlineStr">
        <is>
          <t>A-RS PKNG</t>
        </is>
      </c>
      <c r="C254" s="6" t="n"/>
      <c r="D254" s="7" t="n">
        <v>7.5</v>
      </c>
      <c r="E254" s="7" t="n">
        <v>0</v>
      </c>
      <c r="F254" s="7" t="n">
        <v>0</v>
      </c>
      <c r="G254" s="7" t="n">
        <v>0</v>
      </c>
      <c r="H254" s="7" t="n">
        <v>7.5</v>
      </c>
    </row>
    <row r="255">
      <c r="A255" s="6" t="n"/>
      <c r="B255" s="6" t="inlineStr">
        <is>
          <t>A-RS PROD</t>
        </is>
      </c>
      <c r="C255" s="6" t="n"/>
      <c r="D255" s="7" t="n">
        <v>53.25</v>
      </c>
      <c r="E255" s="7" t="n">
        <v>0</v>
      </c>
      <c r="F255" s="7" t="n">
        <v>0</v>
      </c>
      <c r="G255" s="7" t="n">
        <v>0</v>
      </c>
      <c r="H255" s="7" t="n">
        <v>53.25</v>
      </c>
    </row>
    <row r="256">
      <c r="A256" s="6" t="n"/>
      <c r="B256" s="6" t="inlineStr">
        <is>
          <t>CLNR</t>
        </is>
      </c>
      <c r="C256" s="6" t="n"/>
      <c r="D256" s="7" t="n">
        <v>166.25</v>
      </c>
      <c r="E256" s="7" t="n">
        <v>57.5</v>
      </c>
      <c r="F256" s="7" t="n">
        <v>12.25</v>
      </c>
      <c r="G256" s="7" t="n">
        <v>48</v>
      </c>
      <c r="H256" s="7" t="n">
        <v>284</v>
      </c>
    </row>
    <row r="257">
      <c r="A257" s="6" t="n"/>
      <c r="B257" s="6" t="inlineStr">
        <is>
          <t>DPCH</t>
        </is>
      </c>
      <c r="C257" s="6" t="n"/>
      <c r="D257" s="7" t="n">
        <v>33.25</v>
      </c>
      <c r="E257" s="7" t="n">
        <v>34</v>
      </c>
      <c r="F257" s="7" t="n">
        <v>0</v>
      </c>
      <c r="G257" s="7" t="n">
        <v>8</v>
      </c>
      <c r="H257" s="7" t="n">
        <v>75.25</v>
      </c>
    </row>
    <row r="258">
      <c r="A258" s="6" t="n"/>
      <c r="B258" s="6" t="inlineStr">
        <is>
          <t>OFCE</t>
        </is>
      </c>
      <c r="C258" s="6" t="n"/>
      <c r="D258" s="7" t="n">
        <v>361.75</v>
      </c>
      <c r="E258" s="7" t="n">
        <v>56</v>
      </c>
      <c r="F258" s="7" t="n">
        <v>0</v>
      </c>
      <c r="G258" s="7" t="n">
        <v>152</v>
      </c>
      <c r="H258" s="7" t="n">
        <v>569.75</v>
      </c>
    </row>
    <row r="259">
      <c r="A259" s="6" t="n"/>
      <c r="B259" s="6" t="inlineStr">
        <is>
          <t>PKNG</t>
        </is>
      </c>
      <c r="C259" s="6" t="n"/>
      <c r="D259" s="7" t="n">
        <v>685.25</v>
      </c>
      <c r="E259" s="7" t="n">
        <v>124.75</v>
      </c>
      <c r="F259" s="7" t="n">
        <v>20.25</v>
      </c>
      <c r="G259" s="7" t="n">
        <v>176</v>
      </c>
      <c r="H259" s="7" t="n">
        <v>1006.25</v>
      </c>
    </row>
    <row r="260">
      <c r="A260" s="6" t="n"/>
      <c r="B260" s="6" t="inlineStr">
        <is>
          <t>PROD</t>
        </is>
      </c>
      <c r="C260" s="6" t="n"/>
      <c r="D260" s="7" t="n">
        <v>1353.5</v>
      </c>
      <c r="E260" s="7" t="n">
        <v>148</v>
      </c>
      <c r="F260" s="7" t="n">
        <v>42.25</v>
      </c>
      <c r="G260" s="7" t="n">
        <v>408</v>
      </c>
      <c r="H260" s="7" t="n">
        <v>1951.75</v>
      </c>
    </row>
    <row r="261">
      <c r="A261" s="6" t="n"/>
      <c r="B261" s="6" t="inlineStr">
        <is>
          <t>TECH</t>
        </is>
      </c>
      <c r="C261" s="6" t="n"/>
      <c r="D261" s="7" t="n">
        <v>157.5</v>
      </c>
      <c r="E261" s="7" t="n">
        <v>33.5</v>
      </c>
      <c r="F261" s="7" t="n">
        <v>0</v>
      </c>
      <c r="G261" s="7" t="n">
        <v>40</v>
      </c>
      <c r="H261" s="7" t="n">
        <v>231</v>
      </c>
    </row>
    <row r="262">
      <c r="A262" s="6" t="n"/>
      <c r="B262" s="6" t="inlineStr">
        <is>
          <t>WRHS</t>
        </is>
      </c>
      <c r="C262" s="6" t="n"/>
      <c r="D262" s="7" t="n">
        <v>116.75</v>
      </c>
      <c r="E262" s="7" t="n">
        <v>32.75</v>
      </c>
      <c r="F262" s="7" t="n">
        <v>32.75</v>
      </c>
      <c r="G262" s="7" t="n">
        <v>32</v>
      </c>
      <c r="H262" s="7" t="n">
        <v>214.25</v>
      </c>
    </row>
    <row r="264">
      <c r="A264" s="3" t="inlineStr">
        <is>
          <t>Gazebo vs agency summary</t>
        </is>
      </c>
    </row>
    <row r="265">
      <c r="A265" s="4" t="inlineStr">
        <is>
          <t>EMP = Gazebo staff; AGENCY = A- categories; TOTAL = both (formulas from employee table).</t>
        </is>
      </c>
    </row>
    <row r="266">
      <c r="B266" s="5" t="inlineStr">
        <is>
          <t>Category</t>
        </is>
      </c>
      <c r="C266" s="5" t="n"/>
      <c r="D266" s="5" t="inlineStr">
        <is>
          <t>Basic hours</t>
        </is>
      </c>
      <c r="E266" s="5" t="inlineStr">
        <is>
          <t>Mon–Fri overtime</t>
        </is>
      </c>
      <c r="F266" s="5" t="inlineStr">
        <is>
          <t>Sat/Sun overtime</t>
        </is>
      </c>
      <c r="G266" s="5" t="inlineStr">
        <is>
          <t>Annual holiday</t>
        </is>
      </c>
      <c r="H266" s="5" t="inlineStr">
        <is>
          <t>Total paid hours</t>
        </is>
      </c>
    </row>
    <row r="267">
      <c r="B267" s="6" t="n"/>
      <c r="C267" s="6" t="inlineStr">
        <is>
          <t>EMP</t>
        </is>
      </c>
      <c r="D267" s="7">
        <f>SUM($D$7:$D$208)-D268</f>
        <v/>
      </c>
      <c r="E267" s="7">
        <f>SUM($E$7:$E$208)-E268</f>
        <v/>
      </c>
      <c r="F267" s="7">
        <f>SUM($F$7:$F$208)-F268</f>
        <v/>
      </c>
      <c r="G267" s="7">
        <f>SUM($G$7:$G$208)-G268</f>
        <v/>
      </c>
      <c r="H267" s="7">
        <f>SUM($H$7:$H$208)-H268</f>
        <v/>
      </c>
    </row>
    <row r="268">
      <c r="B268" s="6" t="n"/>
      <c r="C268" s="6" t="inlineStr">
        <is>
          <t>AGENCY</t>
        </is>
      </c>
      <c r="D268" s="7">
        <f>SUMPRODUCT((LEFT($B$7:$B$208,2)="A-")*($D$7:$D$208))</f>
        <v/>
      </c>
      <c r="E268" s="7">
        <f>SUMPRODUCT((LEFT($B$7:$B$208,2)="A-")*($E$7:$E$208))</f>
        <v/>
      </c>
      <c r="F268" s="7">
        <f>SUMPRODUCT((LEFT($B$7:$B$208,2)="A-")*($F$7:$F$208))</f>
        <v/>
      </c>
      <c r="G268" s="7">
        <f>SUMPRODUCT((LEFT($B$7:$B$208,2)="A-")*($G$7:$G$208))</f>
        <v/>
      </c>
      <c r="H268" s="7">
        <f>SUMPRODUCT((LEFT($B$7:$B$208,2)="A-")*($H$7:$H$208))</f>
        <v/>
      </c>
    </row>
    <row r="269">
      <c r="B269" s="6" t="n"/>
      <c r="C269" s="6" t="inlineStr">
        <is>
          <t>TOTAL</t>
        </is>
      </c>
      <c r="D269" s="7">
        <f>D267+D268</f>
        <v/>
      </c>
      <c r="E269" s="7">
        <f>E267+E268</f>
        <v/>
      </c>
      <c r="F269" s="7">
        <f>F267+F268</f>
        <v/>
      </c>
      <c r="G269" s="7">
        <f>G267+G268</f>
        <v/>
      </c>
      <c r="H269" s="7">
        <f>H267+H268</f>
        <v/>
      </c>
    </row>
  </sheetData>
  <mergeCells count="12">
    <mergeCell ref="A1:H1"/>
    <mergeCell ref="A4:H4"/>
    <mergeCell ref="A244:H244"/>
    <mergeCell ref="A245:H245"/>
    <mergeCell ref="A215:H215"/>
    <mergeCell ref="A210:H210"/>
    <mergeCell ref="A2:H2"/>
    <mergeCell ref="A265:H265"/>
    <mergeCell ref="A264:H264"/>
    <mergeCell ref="A5:H5"/>
    <mergeCell ref="A211:H211"/>
    <mergeCell ref="A214:H2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Gazebo HR — Week 4</t>
        </is>
      </c>
    </row>
    <row r="2">
      <c r="A2" s="2" t="inlineStr">
        <is>
          <t>Period: D 11/05/2026 to D 17/05/2026</t>
        </is>
      </c>
    </row>
    <row r="4">
      <c r="A4" s="3" t="inlineStr">
        <is>
          <t>Week 4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</row>
    <row r="7">
      <c r="A7" s="6" t="inlineStr">
        <is>
          <t>K CARSANE</t>
        </is>
      </c>
      <c r="B7" s="6" t="inlineStr">
        <is>
          <t>CLNR</t>
        </is>
      </c>
      <c r="C7" s="7" t="n">
        <v>692</v>
      </c>
      <c r="D7" s="7" t="n">
        <v>39.75</v>
      </c>
      <c r="E7" s="7" t="n">
        <v>0</v>
      </c>
      <c r="F7" s="7" t="n">
        <v>0</v>
      </c>
      <c r="G7" s="7" t="n">
        <v>0</v>
      </c>
      <c r="H7" s="7" t="n">
        <v>39.75</v>
      </c>
    </row>
    <row r="8">
      <c r="A8" s="6" t="inlineStr">
        <is>
          <t>D GIVA</t>
        </is>
      </c>
      <c r="B8" s="6" t="inlineStr">
        <is>
          <t>CLNR</t>
        </is>
      </c>
      <c r="C8" s="7" t="n">
        <v>718</v>
      </c>
      <c r="D8" s="7" t="n">
        <v>30.75</v>
      </c>
      <c r="E8" s="7" t="n">
        <v>6</v>
      </c>
      <c r="F8" s="7" t="n">
        <v>0</v>
      </c>
      <c r="G8" s="7" t="n">
        <v>0</v>
      </c>
      <c r="H8" s="7" t="n">
        <v>36.75</v>
      </c>
    </row>
    <row r="9">
      <c r="A9" s="6" t="inlineStr">
        <is>
          <t>D KUMAR NARANBHAI RATHOD</t>
        </is>
      </c>
      <c r="B9" s="6" t="inlineStr">
        <is>
          <t>CLNR</t>
        </is>
      </c>
      <c r="C9" s="7" t="n">
        <v>629</v>
      </c>
      <c r="D9" s="7" t="n">
        <v>40.25</v>
      </c>
      <c r="E9" s="7" t="n">
        <v>0</v>
      </c>
      <c r="F9" s="7" t="n">
        <v>0</v>
      </c>
      <c r="G9" s="7" t="n">
        <v>0</v>
      </c>
      <c r="H9" s="7" t="n">
        <v>40.25</v>
      </c>
    </row>
    <row r="10">
      <c r="A10" s="6" t="inlineStr">
        <is>
          <t>D NATU</t>
        </is>
      </c>
      <c r="B10" s="6" t="inlineStr">
        <is>
          <t>CLNR</t>
        </is>
      </c>
      <c r="C10" s="7" t="n">
        <v>750</v>
      </c>
      <c r="D10" s="7" t="n">
        <v>39.75</v>
      </c>
      <c r="E10" s="7" t="n">
        <v>6.75</v>
      </c>
      <c r="F10" s="7" t="n">
        <v>0</v>
      </c>
      <c r="G10" s="7" t="n">
        <v>0</v>
      </c>
      <c r="H10" s="7" t="n">
        <v>46.5</v>
      </c>
    </row>
    <row r="11">
      <c r="A11" s="6" t="inlineStr">
        <is>
          <t>S NATU</t>
        </is>
      </c>
      <c r="B11" s="6" t="inlineStr">
        <is>
          <t>CLNR</t>
        </is>
      </c>
      <c r="C11" s="7" t="n">
        <v>579</v>
      </c>
      <c r="D11" s="7" t="n">
        <v>0</v>
      </c>
      <c r="E11" s="7" t="n">
        <v>9.25</v>
      </c>
      <c r="F11" s="7" t="n">
        <v>8.5</v>
      </c>
      <c r="G11" s="7" t="n">
        <v>0</v>
      </c>
      <c r="H11" s="7" t="n">
        <v>17.75</v>
      </c>
    </row>
    <row r="12">
      <c r="A12" s="6" t="inlineStr">
        <is>
          <t>T TIRKEY</t>
        </is>
      </c>
      <c r="B12" s="6" t="inlineStr">
        <is>
          <t>CLNR</t>
        </is>
      </c>
      <c r="C12" s="7" t="n">
        <v>506</v>
      </c>
      <c r="D12" s="7" t="n">
        <v>36</v>
      </c>
      <c r="E12" s="7" t="n">
        <v>6</v>
      </c>
      <c r="F12" s="7" t="n">
        <v>0</v>
      </c>
      <c r="G12" s="7" t="n">
        <v>0</v>
      </c>
      <c r="H12" s="7" t="n">
        <v>42</v>
      </c>
    </row>
    <row r="13">
      <c r="A13" s="6" t="inlineStr">
        <is>
          <t>U VINAYCHANDRA</t>
        </is>
      </c>
      <c r="B13" s="6" t="inlineStr">
        <is>
          <t>DPCH</t>
        </is>
      </c>
      <c r="C13" s="7" t="n">
        <v>426</v>
      </c>
      <c r="D13" s="7" t="n">
        <v>41.25</v>
      </c>
      <c r="E13" s="7" t="n">
        <v>24.25</v>
      </c>
      <c r="F13" s="7" t="n">
        <v>0</v>
      </c>
      <c r="G13" s="7" t="n">
        <v>0</v>
      </c>
      <c r="H13" s="7" t="n">
        <v>65.5</v>
      </c>
    </row>
    <row r="14">
      <c r="A14" s="6" t="inlineStr">
        <is>
          <t>S BHIMJI VAGADIYA</t>
        </is>
      </c>
      <c r="B14" s="6" t="inlineStr">
        <is>
          <t>OFCE</t>
        </is>
      </c>
      <c r="C14" s="7" t="n">
        <v>749</v>
      </c>
      <c r="D14" s="7" t="n">
        <v>20</v>
      </c>
      <c r="E14" s="7" t="n">
        <v>0</v>
      </c>
      <c r="F14" s="7" t="n">
        <v>0</v>
      </c>
      <c r="G14" s="7" t="n">
        <v>0</v>
      </c>
      <c r="H14" s="7" t="n">
        <v>20</v>
      </c>
    </row>
    <row r="15">
      <c r="A15" s="6" t="inlineStr">
        <is>
          <t>D DEVUSINH BAROT</t>
        </is>
      </c>
      <c r="B15" s="6" t="inlineStr">
        <is>
          <t>OFCE</t>
        </is>
      </c>
      <c r="C15" s="7" t="n">
        <v>752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</row>
    <row r="16">
      <c r="A16" s="6" t="inlineStr">
        <is>
          <t>B DIKER</t>
        </is>
      </c>
      <c r="B16" s="6" t="inlineStr">
        <is>
          <t>OFCE</t>
        </is>
      </c>
      <c r="C16" s="7" t="n">
        <v>747</v>
      </c>
      <c r="D16" s="7" t="n">
        <v>41.25</v>
      </c>
      <c r="E16" s="7" t="n">
        <v>5.5</v>
      </c>
      <c r="F16" s="7" t="n">
        <v>0</v>
      </c>
      <c r="G16" s="7" t="n">
        <v>0</v>
      </c>
      <c r="H16" s="7" t="n">
        <v>46.75</v>
      </c>
    </row>
    <row r="17">
      <c r="A17" s="6" t="inlineStr">
        <is>
          <t>U GOHEL</t>
        </is>
      </c>
      <c r="B17" s="6" t="inlineStr">
        <is>
          <t>OFCE</t>
        </is>
      </c>
      <c r="C17" s="7" t="n">
        <v>691</v>
      </c>
      <c r="D17" s="7" t="n">
        <v>0</v>
      </c>
      <c r="E17" s="7" t="n">
        <v>8</v>
      </c>
      <c r="F17" s="7" t="n">
        <v>0</v>
      </c>
      <c r="G17" s="7" t="n">
        <v>0</v>
      </c>
      <c r="H17" s="7" t="n">
        <v>8</v>
      </c>
    </row>
    <row r="18">
      <c r="A18" s="6" t="inlineStr">
        <is>
          <t>P LEITE</t>
        </is>
      </c>
      <c r="B18" s="6" t="inlineStr">
        <is>
          <t>OFCE</t>
        </is>
      </c>
      <c r="C18" s="7" t="n">
        <v>504</v>
      </c>
      <c r="D18" s="7" t="n">
        <v>41.25</v>
      </c>
      <c r="E18" s="7" t="n">
        <v>4.25</v>
      </c>
      <c r="F18" s="7" t="n">
        <v>0</v>
      </c>
      <c r="G18" s="7" t="n">
        <v>0</v>
      </c>
      <c r="H18" s="7" t="n">
        <v>45.5</v>
      </c>
    </row>
    <row r="19">
      <c r="A19" s="6" t="inlineStr">
        <is>
          <t>P MALIK</t>
        </is>
      </c>
      <c r="B19" s="6" t="inlineStr">
        <is>
          <t>OFCE</t>
        </is>
      </c>
      <c r="C19" s="7" t="n">
        <v>679</v>
      </c>
      <c r="D19" s="7" t="n">
        <v>0</v>
      </c>
      <c r="E19" s="7" t="n">
        <v>0</v>
      </c>
      <c r="F19" s="7" t="n">
        <v>0</v>
      </c>
      <c r="G19" s="7" t="n">
        <v>40</v>
      </c>
      <c r="H19" s="7" t="n">
        <v>40</v>
      </c>
    </row>
    <row r="20">
      <c r="A20" s="6" t="inlineStr">
        <is>
          <t>P PANDHARIPANDE</t>
        </is>
      </c>
      <c r="B20" s="6" t="inlineStr">
        <is>
          <t>OFCE</t>
        </is>
      </c>
      <c r="C20" s="7" t="n">
        <v>660</v>
      </c>
      <c r="D20" s="7" t="n">
        <v>33.25</v>
      </c>
      <c r="E20" s="7" t="n">
        <v>0.75</v>
      </c>
      <c r="F20" s="7" t="n">
        <v>0</v>
      </c>
      <c r="G20" s="7" t="n">
        <v>8</v>
      </c>
      <c r="H20" s="7" t="n">
        <v>42</v>
      </c>
    </row>
    <row r="21">
      <c r="A21" s="6" t="inlineStr">
        <is>
          <t>A PODDER</t>
        </is>
      </c>
      <c r="B21" s="6" t="inlineStr">
        <is>
          <t>OFCE</t>
        </is>
      </c>
      <c r="C21" s="7" t="n">
        <v>754</v>
      </c>
      <c r="D21" s="7" t="n">
        <v>41.25</v>
      </c>
      <c r="E21" s="7" t="n">
        <v>3.75</v>
      </c>
      <c r="F21" s="7" t="n">
        <v>0</v>
      </c>
      <c r="G21" s="7" t="n">
        <v>0</v>
      </c>
      <c r="H21" s="7" t="n">
        <v>45</v>
      </c>
    </row>
    <row r="22">
      <c r="A22" s="6" t="inlineStr">
        <is>
          <t>G RAMESH</t>
        </is>
      </c>
      <c r="B22" s="6" t="inlineStr">
        <is>
          <t>OFCE</t>
        </is>
      </c>
      <c r="C22" s="7" t="n">
        <v>737</v>
      </c>
      <c r="D22" s="7" t="n">
        <v>25</v>
      </c>
      <c r="E22" s="7" t="n">
        <v>0</v>
      </c>
      <c r="F22" s="7" t="n">
        <v>0</v>
      </c>
      <c r="G22" s="7" t="n">
        <v>0</v>
      </c>
      <c r="H22" s="7" t="n">
        <v>25</v>
      </c>
    </row>
    <row r="23">
      <c r="A23" s="6" t="inlineStr">
        <is>
          <t>P RAMNIK</t>
        </is>
      </c>
      <c r="B23" s="6" t="inlineStr">
        <is>
          <t>OFCE</t>
        </is>
      </c>
      <c r="C23" s="7" t="n">
        <v>753</v>
      </c>
      <c r="D23" s="7" t="n">
        <v>41.25</v>
      </c>
      <c r="E23" s="7" t="n">
        <v>12</v>
      </c>
      <c r="F23" s="7" t="n">
        <v>0</v>
      </c>
      <c r="G23" s="7" t="n">
        <v>0</v>
      </c>
      <c r="H23" s="7" t="n">
        <v>53.25</v>
      </c>
    </row>
    <row r="24">
      <c r="A24" s="6" t="inlineStr">
        <is>
          <t>A RATHOD</t>
        </is>
      </c>
      <c r="B24" s="6" t="inlineStr">
        <is>
          <t>OFCE</t>
        </is>
      </c>
      <c r="C24" s="7" t="n">
        <v>369</v>
      </c>
      <c r="D24" s="7" t="n">
        <v>37</v>
      </c>
      <c r="E24" s="7" t="n">
        <v>0</v>
      </c>
      <c r="F24" s="7" t="n">
        <v>0</v>
      </c>
      <c r="G24" s="7" t="n">
        <v>0</v>
      </c>
      <c r="H24" s="7" t="n">
        <v>37</v>
      </c>
    </row>
    <row r="25">
      <c r="A25" s="6" t="inlineStr">
        <is>
          <t>K RATHOD</t>
        </is>
      </c>
      <c r="B25" s="6" t="inlineStr">
        <is>
          <t>OFCE</t>
        </is>
      </c>
      <c r="C25" s="7" t="n">
        <v>727</v>
      </c>
      <c r="D25" s="7" t="n">
        <v>38.5</v>
      </c>
      <c r="E25" s="7" t="n">
        <v>0</v>
      </c>
      <c r="F25" s="7" t="n">
        <v>0</v>
      </c>
      <c r="G25" s="7" t="n">
        <v>0</v>
      </c>
      <c r="H25" s="7" t="n">
        <v>38.5</v>
      </c>
    </row>
    <row r="26">
      <c r="A26" s="6" t="inlineStr">
        <is>
          <t>D SHAH</t>
        </is>
      </c>
      <c r="B26" s="6" t="inlineStr">
        <is>
          <t>OFCE</t>
        </is>
      </c>
      <c r="C26" s="7" t="n">
        <v>429</v>
      </c>
      <c r="D26" s="7" t="n">
        <v>41.25</v>
      </c>
      <c r="E26" s="7" t="n">
        <v>2</v>
      </c>
      <c r="F26" s="7" t="n">
        <v>0</v>
      </c>
      <c r="G26" s="7" t="n">
        <v>0</v>
      </c>
      <c r="H26" s="7" t="n">
        <v>43.25</v>
      </c>
    </row>
    <row r="27">
      <c r="A27" s="6" t="inlineStr">
        <is>
          <t>T SINGH SEHDEV</t>
        </is>
      </c>
      <c r="B27" s="6" t="inlineStr">
        <is>
          <t>OFCE</t>
        </is>
      </c>
      <c r="C27" s="7" t="n">
        <v>522</v>
      </c>
      <c r="D27" s="7" t="n">
        <v>41.25</v>
      </c>
      <c r="E27" s="7" t="n">
        <v>2.75</v>
      </c>
      <c r="F27" s="7" t="n">
        <v>0</v>
      </c>
      <c r="G27" s="7" t="n">
        <v>0</v>
      </c>
      <c r="H27" s="7" t="n">
        <v>44</v>
      </c>
    </row>
    <row r="28">
      <c r="A28" s="6" t="inlineStr">
        <is>
          <t>B VANZA</t>
        </is>
      </c>
      <c r="B28" s="6" t="inlineStr">
        <is>
          <t>OFCE</t>
        </is>
      </c>
      <c r="C28" s="7" t="n">
        <v>161</v>
      </c>
      <c r="D28" s="7" t="n">
        <v>41.25</v>
      </c>
      <c r="E28" s="7" t="n">
        <v>4.25</v>
      </c>
      <c r="F28" s="7" t="n">
        <v>0</v>
      </c>
      <c r="G28" s="7" t="n">
        <v>0</v>
      </c>
      <c r="H28" s="7" t="n">
        <v>45.5</v>
      </c>
    </row>
    <row r="29">
      <c r="A29" s="6" t="inlineStr">
        <is>
          <t>A BHARATBHAI VASANI</t>
        </is>
      </c>
      <c r="B29" s="6" t="inlineStr">
        <is>
          <t>PKNG HIGH_RISK</t>
        </is>
      </c>
      <c r="C29" s="7" t="n">
        <v>707</v>
      </c>
      <c r="D29" s="7" t="n">
        <v>41.25</v>
      </c>
      <c r="E29" s="7" t="n">
        <v>5.25</v>
      </c>
      <c r="F29" s="7" t="n">
        <v>0</v>
      </c>
      <c r="G29" s="7" t="n">
        <v>0</v>
      </c>
      <c r="H29" s="7" t="n">
        <v>46.5</v>
      </c>
    </row>
    <row r="30">
      <c r="A30" s="6" t="inlineStr">
        <is>
          <t>R DA SILVA</t>
        </is>
      </c>
      <c r="B30" s="6" t="inlineStr">
        <is>
          <t>PKNG HIGH_RISK</t>
        </is>
      </c>
      <c r="C30" s="7" t="n">
        <v>713</v>
      </c>
      <c r="D30" s="7" t="n">
        <v>35.25</v>
      </c>
      <c r="E30" s="7" t="n">
        <v>0</v>
      </c>
      <c r="F30" s="7" t="n">
        <v>0</v>
      </c>
      <c r="G30" s="7" t="n">
        <v>0</v>
      </c>
      <c r="H30" s="7" t="n">
        <v>35.25</v>
      </c>
    </row>
    <row r="31">
      <c r="A31" s="6" t="inlineStr">
        <is>
          <t>F DHANGAR</t>
        </is>
      </c>
      <c r="B31" s="6" t="inlineStr">
        <is>
          <t>PKNG HIGH_RISK</t>
        </is>
      </c>
      <c r="C31" s="7" t="n">
        <v>637</v>
      </c>
      <c r="D31" s="7" t="n">
        <v>41.25</v>
      </c>
      <c r="E31" s="7" t="n">
        <v>9.5</v>
      </c>
      <c r="F31" s="7" t="n">
        <v>0</v>
      </c>
      <c r="G31" s="7" t="n">
        <v>0</v>
      </c>
      <c r="H31" s="7" t="n">
        <v>50.75</v>
      </c>
    </row>
    <row r="32">
      <c r="A32" s="6" t="inlineStr">
        <is>
          <t>D DIVYA</t>
        </is>
      </c>
      <c r="B32" s="6" t="inlineStr">
        <is>
          <t>PKNG HIGH_RISK</t>
        </is>
      </c>
      <c r="C32" s="7" t="n">
        <v>734</v>
      </c>
      <c r="D32" s="7" t="n">
        <v>36</v>
      </c>
      <c r="E32" s="7" t="n">
        <v>0</v>
      </c>
      <c r="F32" s="7" t="n">
        <v>0</v>
      </c>
      <c r="G32" s="7" t="n">
        <v>0</v>
      </c>
      <c r="H32" s="7" t="n">
        <v>36</v>
      </c>
    </row>
    <row r="33">
      <c r="A33" s="6" t="inlineStr">
        <is>
          <t>G GUNABHAI DEVANI</t>
        </is>
      </c>
      <c r="B33" s="6" t="inlineStr">
        <is>
          <t>PKNG HIGH_RISK</t>
        </is>
      </c>
      <c r="C33" s="7" t="n">
        <v>757</v>
      </c>
      <c r="D33" s="7" t="n">
        <v>36</v>
      </c>
      <c r="E33" s="7" t="n">
        <v>0</v>
      </c>
      <c r="F33" s="7" t="n">
        <v>0</v>
      </c>
      <c r="G33" s="7" t="n">
        <v>0</v>
      </c>
      <c r="H33" s="7" t="n">
        <v>36</v>
      </c>
    </row>
    <row r="34">
      <c r="A34" s="6" t="inlineStr">
        <is>
          <t>A KRANYIK</t>
        </is>
      </c>
      <c r="B34" s="6" t="inlineStr">
        <is>
          <t>PKNG HIGH_RISK</t>
        </is>
      </c>
      <c r="C34" s="7" t="n">
        <v>320</v>
      </c>
      <c r="D34" s="7" t="n">
        <v>38.5</v>
      </c>
      <c r="E34" s="7" t="n">
        <v>0</v>
      </c>
      <c r="F34" s="7" t="n">
        <v>0</v>
      </c>
      <c r="G34" s="7" t="n">
        <v>0</v>
      </c>
      <c r="H34" s="7" t="n">
        <v>38.5</v>
      </c>
    </row>
    <row r="35">
      <c r="A35" s="6" t="inlineStr">
        <is>
          <t>A MAENCAR</t>
        </is>
      </c>
      <c r="B35" s="6" t="inlineStr">
        <is>
          <t>PKNG HIGH_RISK</t>
        </is>
      </c>
      <c r="C35" s="7" t="n">
        <v>445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</row>
    <row r="36">
      <c r="A36" s="6" t="inlineStr">
        <is>
          <t>S PERUMAL MURTHI</t>
        </is>
      </c>
      <c r="B36" s="6" t="inlineStr">
        <is>
          <t>PKNG HIGH_RISK</t>
        </is>
      </c>
      <c r="C36" s="7" t="n">
        <v>751</v>
      </c>
      <c r="D36" s="7" t="n">
        <v>35.25</v>
      </c>
      <c r="E36" s="7" t="n">
        <v>0</v>
      </c>
      <c r="F36" s="7" t="n">
        <v>0</v>
      </c>
      <c r="G36" s="7" t="n">
        <v>0</v>
      </c>
      <c r="H36" s="7" t="n">
        <v>35.25</v>
      </c>
    </row>
    <row r="37">
      <c r="A37" s="6" t="inlineStr">
        <is>
          <t>N SOMA</t>
        </is>
      </c>
      <c r="B37" s="6" t="inlineStr">
        <is>
          <t>PKNG HIGH_RISK</t>
        </is>
      </c>
      <c r="C37" s="7" t="n">
        <v>724</v>
      </c>
      <c r="D37" s="7" t="n">
        <v>36.75</v>
      </c>
      <c r="E37" s="7" t="n">
        <v>0</v>
      </c>
      <c r="F37" s="7" t="n">
        <v>0</v>
      </c>
      <c r="G37" s="7" t="n">
        <v>0</v>
      </c>
      <c r="H37" s="7" t="n">
        <v>36.75</v>
      </c>
    </row>
    <row r="38">
      <c r="A38" s="6" t="inlineStr">
        <is>
          <t>R SUREXA NAIQUE</t>
        </is>
      </c>
      <c r="B38" s="6" t="inlineStr">
        <is>
          <t>PKNG HIGH_RISK</t>
        </is>
      </c>
      <c r="C38" s="7" t="n">
        <v>714</v>
      </c>
      <c r="D38" s="7" t="n">
        <v>36.75</v>
      </c>
      <c r="E38" s="7" t="n">
        <v>0</v>
      </c>
      <c r="F38" s="7" t="n">
        <v>0</v>
      </c>
      <c r="G38" s="7" t="n">
        <v>0</v>
      </c>
      <c r="H38" s="7" t="n">
        <v>36.75</v>
      </c>
    </row>
    <row r="39">
      <c r="A39" s="6" t="inlineStr">
        <is>
          <t>L XAVERINA LOPES</t>
        </is>
      </c>
      <c r="B39" s="6" t="inlineStr">
        <is>
          <t>PKNG HIGH_RISK</t>
        </is>
      </c>
      <c r="C39" s="7" t="n">
        <v>726</v>
      </c>
      <c r="D39" s="7" t="n">
        <v>35.25</v>
      </c>
      <c r="E39" s="7" t="n">
        <v>0</v>
      </c>
      <c r="F39" s="7" t="n">
        <v>0</v>
      </c>
      <c r="G39" s="7" t="n">
        <v>0</v>
      </c>
      <c r="H39" s="7" t="n">
        <v>35.25</v>
      </c>
    </row>
    <row r="40">
      <c r="A40" s="6" t="inlineStr">
        <is>
          <t>R BAGOANE</t>
        </is>
      </c>
      <c r="B40" s="6" t="inlineStr">
        <is>
          <t>PKNG SLEEVING</t>
        </is>
      </c>
      <c r="C40" s="7" t="n">
        <v>254</v>
      </c>
      <c r="D40" s="7" t="n">
        <v>40</v>
      </c>
      <c r="E40" s="7" t="n">
        <v>0</v>
      </c>
      <c r="F40" s="7" t="n">
        <v>0</v>
      </c>
      <c r="G40" s="7" t="n">
        <v>0</v>
      </c>
      <c r="H40" s="7" t="n">
        <v>40</v>
      </c>
    </row>
    <row r="41">
      <c r="A41" s="6" t="inlineStr">
        <is>
          <t>K CALA</t>
        </is>
      </c>
      <c r="B41" s="6" t="inlineStr">
        <is>
          <t>PKNG SLEEVING</t>
        </is>
      </c>
      <c r="C41" s="7" t="n">
        <v>392</v>
      </c>
      <c r="D41" s="7" t="n">
        <v>38.25</v>
      </c>
      <c r="E41" s="7" t="n">
        <v>0</v>
      </c>
      <c r="F41" s="7" t="n">
        <v>0</v>
      </c>
      <c r="G41" s="7" t="n">
        <v>0</v>
      </c>
      <c r="H41" s="7" t="n">
        <v>38.25</v>
      </c>
    </row>
    <row r="42">
      <c r="A42" s="6" t="inlineStr">
        <is>
          <t>T CANGI</t>
        </is>
      </c>
      <c r="B42" s="6" t="inlineStr">
        <is>
          <t>PKNG SLEEVING</t>
        </is>
      </c>
      <c r="C42" s="7" t="n">
        <v>687</v>
      </c>
      <c r="D42" s="7" t="n">
        <v>35</v>
      </c>
      <c r="E42" s="7" t="n">
        <v>0</v>
      </c>
      <c r="F42" s="7" t="n">
        <v>0</v>
      </c>
      <c r="G42" s="7" t="n">
        <v>0</v>
      </c>
      <c r="H42" s="7" t="n">
        <v>35</v>
      </c>
    </row>
    <row r="43">
      <c r="A43" s="6" t="inlineStr">
        <is>
          <t>J CARSANE</t>
        </is>
      </c>
      <c r="B43" s="6" t="inlineStr">
        <is>
          <t>PKNG SLEEVING</t>
        </is>
      </c>
      <c r="C43" s="7" t="n">
        <v>669</v>
      </c>
      <c r="D43" s="7" t="n">
        <v>33.5</v>
      </c>
      <c r="E43" s="7" t="n">
        <v>0</v>
      </c>
      <c r="F43" s="7" t="n">
        <v>0</v>
      </c>
      <c r="G43" s="7" t="n">
        <v>0</v>
      </c>
      <c r="H43" s="7" t="n">
        <v>33.5</v>
      </c>
    </row>
    <row r="44">
      <c r="A44" s="6" t="inlineStr">
        <is>
          <t>S DIAS</t>
        </is>
      </c>
      <c r="B44" s="6" t="inlineStr">
        <is>
          <t>PKNG SLEEVING</t>
        </is>
      </c>
      <c r="C44" s="7" t="n">
        <v>730</v>
      </c>
      <c r="D44" s="7" t="n">
        <v>37.25</v>
      </c>
      <c r="E44" s="7" t="n">
        <v>0</v>
      </c>
      <c r="F44" s="7" t="n">
        <v>0</v>
      </c>
      <c r="G44" s="7" t="n">
        <v>0</v>
      </c>
      <c r="H44" s="7" t="n">
        <v>37.25</v>
      </c>
    </row>
    <row r="45">
      <c r="A45" s="6" t="inlineStr">
        <is>
          <t>D MEGGI</t>
        </is>
      </c>
      <c r="B45" s="6" t="inlineStr">
        <is>
          <t>PKNG SLEEVING</t>
        </is>
      </c>
      <c r="C45" s="7" t="n">
        <v>387</v>
      </c>
      <c r="D45" s="7" t="n">
        <v>33.5</v>
      </c>
      <c r="E45" s="7" t="n">
        <v>0</v>
      </c>
      <c r="F45" s="7" t="n">
        <v>0</v>
      </c>
      <c r="G45" s="7" t="n">
        <v>0</v>
      </c>
      <c r="H45" s="7" t="n">
        <v>33.5</v>
      </c>
    </row>
    <row r="46">
      <c r="A46" s="6" t="inlineStr">
        <is>
          <t>V MUKESHBHAI PATEL</t>
        </is>
      </c>
      <c r="B46" s="6" t="inlineStr">
        <is>
          <t>PKNG SLEEVING</t>
        </is>
      </c>
      <c r="C46" s="7" t="n">
        <v>683</v>
      </c>
      <c r="D46" s="7" t="n">
        <v>27</v>
      </c>
      <c r="E46" s="7" t="n">
        <v>6.5</v>
      </c>
      <c r="F46" s="7" t="n">
        <v>0</v>
      </c>
      <c r="G46" s="7" t="n">
        <v>8</v>
      </c>
      <c r="H46" s="7" t="n">
        <v>41.5</v>
      </c>
    </row>
    <row r="47">
      <c r="A47" s="6" t="inlineStr">
        <is>
          <t>M PEMGI</t>
        </is>
      </c>
      <c r="B47" s="6" t="inlineStr">
        <is>
          <t>PKNG SLEEVING</t>
        </is>
      </c>
      <c r="C47" s="7" t="n">
        <v>681</v>
      </c>
      <c r="D47" s="7" t="n">
        <v>37.25</v>
      </c>
      <c r="E47" s="7" t="n">
        <v>0</v>
      </c>
      <c r="F47" s="7" t="n">
        <v>0</v>
      </c>
      <c r="G47" s="7" t="n">
        <v>0</v>
      </c>
      <c r="H47" s="7" t="n">
        <v>37.25</v>
      </c>
    </row>
    <row r="48">
      <c r="A48" s="6" t="inlineStr">
        <is>
          <t>V RAMJI</t>
        </is>
      </c>
      <c r="B48" s="6" t="inlineStr">
        <is>
          <t>PKNG SLEEVING</t>
        </is>
      </c>
      <c r="C48" s="7" t="n">
        <v>693</v>
      </c>
      <c r="D48" s="7" t="n">
        <v>34.25</v>
      </c>
      <c r="E48" s="7" t="n">
        <v>7.25</v>
      </c>
      <c r="F48" s="7" t="n">
        <v>0</v>
      </c>
      <c r="G48" s="7" t="n">
        <v>0</v>
      </c>
      <c r="H48" s="7" t="n">
        <v>41.5</v>
      </c>
    </row>
    <row r="49">
      <c r="A49" s="6" t="inlineStr">
        <is>
          <t>J SOMA CHAVDA</t>
        </is>
      </c>
      <c r="B49" s="6" t="inlineStr">
        <is>
          <t>PKNG SLEEVING</t>
        </is>
      </c>
      <c r="C49" s="7" t="n">
        <v>715</v>
      </c>
      <c r="D49" s="7" t="n">
        <v>33.75</v>
      </c>
      <c r="E49" s="7" t="n">
        <v>6.25</v>
      </c>
      <c r="F49" s="7" t="n">
        <v>0</v>
      </c>
      <c r="G49" s="7" t="n">
        <v>0</v>
      </c>
      <c r="H49" s="7" t="n">
        <v>40</v>
      </c>
    </row>
    <row r="50">
      <c r="A50" s="6" t="inlineStr">
        <is>
          <t>D TULSHIDAS</t>
        </is>
      </c>
      <c r="B50" s="6" t="inlineStr">
        <is>
          <t>PKNG SLEEVING</t>
        </is>
      </c>
      <c r="C50" s="7" t="n">
        <v>719</v>
      </c>
      <c r="D50" s="7" t="n">
        <v>38.25</v>
      </c>
      <c r="E50" s="7" t="n">
        <v>7.25</v>
      </c>
      <c r="F50" s="7" t="n">
        <v>0</v>
      </c>
      <c r="G50" s="7" t="n">
        <v>0</v>
      </c>
      <c r="H50" s="7" t="n">
        <v>45.5</v>
      </c>
    </row>
    <row r="51">
      <c r="A51" s="6" t="inlineStr">
        <is>
          <t>U BHARAT</t>
        </is>
      </c>
      <c r="B51" s="6" t="inlineStr">
        <is>
          <t>PROD BELT</t>
        </is>
      </c>
      <c r="C51" s="7" t="n">
        <v>646</v>
      </c>
      <c r="D51" s="7" t="n">
        <v>24</v>
      </c>
      <c r="E51" s="7" t="n">
        <v>0</v>
      </c>
      <c r="F51" s="7" t="n">
        <v>0</v>
      </c>
      <c r="G51" s="7" t="n">
        <v>0</v>
      </c>
      <c r="H51" s="7" t="n">
        <v>24</v>
      </c>
    </row>
    <row r="52">
      <c r="A52" s="6" t="inlineStr">
        <is>
          <t>A DANGAR</t>
        </is>
      </c>
      <c r="B52" s="6" t="inlineStr">
        <is>
          <t>PROD BELT</t>
        </is>
      </c>
      <c r="C52" s="7" t="n">
        <v>124</v>
      </c>
      <c r="D52" s="7" t="n">
        <v>26.5</v>
      </c>
      <c r="E52" s="7" t="n">
        <v>0</v>
      </c>
      <c r="F52" s="7" t="n">
        <v>0</v>
      </c>
      <c r="G52" s="7" t="n">
        <v>0</v>
      </c>
      <c r="H52" s="7" t="n">
        <v>26.5</v>
      </c>
    </row>
    <row r="53">
      <c r="A53" s="6" t="inlineStr">
        <is>
          <t>L DEVI THAPA</t>
        </is>
      </c>
      <c r="B53" s="6" t="inlineStr">
        <is>
          <t>PROD BELT</t>
        </is>
      </c>
      <c r="C53" s="7" t="n">
        <v>645</v>
      </c>
      <c r="D53" s="7" t="n">
        <v>24</v>
      </c>
      <c r="E53" s="7" t="n">
        <v>0</v>
      </c>
      <c r="F53" s="7" t="n">
        <v>0</v>
      </c>
      <c r="G53" s="7" t="n">
        <v>0</v>
      </c>
      <c r="H53" s="7" t="n">
        <v>24</v>
      </c>
    </row>
    <row r="54">
      <c r="A54" s="6" t="inlineStr">
        <is>
          <t>J DEVJI</t>
        </is>
      </c>
      <c r="B54" s="6" t="inlineStr">
        <is>
          <t>PROD BELT</t>
        </is>
      </c>
      <c r="C54" s="7" t="n">
        <v>662</v>
      </c>
      <c r="D54" s="7" t="n">
        <v>27.25</v>
      </c>
      <c r="E54" s="7" t="n">
        <v>0</v>
      </c>
      <c r="F54" s="7" t="n">
        <v>0</v>
      </c>
      <c r="G54" s="7" t="n">
        <v>0</v>
      </c>
      <c r="H54" s="7" t="n">
        <v>27.25</v>
      </c>
    </row>
    <row r="55">
      <c r="A55" s="6" t="inlineStr">
        <is>
          <t>L GIVA</t>
        </is>
      </c>
      <c r="B55" s="6" t="inlineStr">
        <is>
          <t>PROD BELT</t>
        </is>
      </c>
      <c r="C55" s="7" t="n">
        <v>584</v>
      </c>
      <c r="D55" s="7" t="n">
        <v>28</v>
      </c>
      <c r="E55" s="7" t="n">
        <v>0</v>
      </c>
      <c r="F55" s="7" t="n">
        <v>0</v>
      </c>
      <c r="G55" s="7" t="n">
        <v>0</v>
      </c>
      <c r="H55" s="7" t="n">
        <v>28</v>
      </c>
    </row>
    <row r="56">
      <c r="A56" s="6" t="inlineStr">
        <is>
          <t>B GURUNG</t>
        </is>
      </c>
      <c r="B56" s="6" t="inlineStr">
        <is>
          <t>PROD BELT</t>
        </is>
      </c>
      <c r="C56" s="7" t="n">
        <v>40</v>
      </c>
      <c r="D56" s="7" t="n">
        <v>28.5</v>
      </c>
      <c r="E56" s="7" t="n">
        <v>0</v>
      </c>
      <c r="F56" s="7" t="n">
        <v>0</v>
      </c>
      <c r="G56" s="7" t="n">
        <v>0</v>
      </c>
      <c r="H56" s="7" t="n">
        <v>28.5</v>
      </c>
    </row>
    <row r="57">
      <c r="A57" s="6" t="inlineStr">
        <is>
          <t>J KANJI</t>
        </is>
      </c>
      <c r="B57" s="6" t="inlineStr">
        <is>
          <t>PROD BELT</t>
        </is>
      </c>
      <c r="C57" s="7" t="n">
        <v>756</v>
      </c>
      <c r="D57" s="7" t="n">
        <v>24.25</v>
      </c>
      <c r="E57" s="7" t="n">
        <v>0</v>
      </c>
      <c r="F57" s="7" t="n">
        <v>0</v>
      </c>
      <c r="G57" s="7" t="n">
        <v>0</v>
      </c>
      <c r="H57" s="7" t="n">
        <v>24.25</v>
      </c>
    </row>
    <row r="58">
      <c r="A58" s="6" t="inlineStr">
        <is>
          <t>E KECZAN</t>
        </is>
      </c>
      <c r="B58" s="6" t="inlineStr">
        <is>
          <t>PROD BELT</t>
        </is>
      </c>
      <c r="C58" s="7" t="n">
        <v>204</v>
      </c>
      <c r="D58" s="7" t="n">
        <v>28.75</v>
      </c>
      <c r="E58" s="7" t="n">
        <v>0</v>
      </c>
      <c r="F58" s="7" t="n">
        <v>0</v>
      </c>
      <c r="G58" s="7" t="n">
        <v>0</v>
      </c>
      <c r="H58" s="7" t="n">
        <v>28.75</v>
      </c>
    </row>
    <row r="59">
      <c r="A59" s="6" t="inlineStr">
        <is>
          <t>M MAHENDRA</t>
        </is>
      </c>
      <c r="B59" s="6" t="inlineStr">
        <is>
          <t>PROD BELT</t>
        </is>
      </c>
      <c r="C59" s="7" t="n">
        <v>746</v>
      </c>
      <c r="D59" s="7" t="n">
        <v>24.25</v>
      </c>
      <c r="E59" s="7" t="n">
        <v>0</v>
      </c>
      <c r="F59" s="7" t="n">
        <v>0</v>
      </c>
      <c r="G59" s="7" t="n">
        <v>0</v>
      </c>
      <c r="H59" s="7" t="n">
        <v>24.25</v>
      </c>
    </row>
    <row r="60">
      <c r="A60" s="6" t="inlineStr">
        <is>
          <t>V PATEL</t>
        </is>
      </c>
      <c r="B60" s="6" t="inlineStr">
        <is>
          <t>PROD BELT</t>
        </is>
      </c>
      <c r="C60" s="7" t="n">
        <v>18</v>
      </c>
      <c r="D60" s="7" t="n">
        <v>22.25</v>
      </c>
      <c r="E60" s="7" t="n">
        <v>0</v>
      </c>
      <c r="F60" s="7" t="n">
        <v>0</v>
      </c>
      <c r="G60" s="7" t="n">
        <v>0</v>
      </c>
      <c r="H60" s="7" t="n">
        <v>22.25</v>
      </c>
    </row>
    <row r="61">
      <c r="A61" s="6" t="inlineStr">
        <is>
          <t>V PILLAIYANAR</t>
        </is>
      </c>
      <c r="B61" s="6" t="inlineStr">
        <is>
          <t>PROD BELT</t>
        </is>
      </c>
      <c r="C61" s="7" t="n">
        <v>150</v>
      </c>
      <c r="D61" s="7" t="n">
        <v>25.75</v>
      </c>
      <c r="E61" s="7" t="n">
        <v>0</v>
      </c>
      <c r="F61" s="7" t="n">
        <v>0</v>
      </c>
      <c r="G61" s="7" t="n">
        <v>0</v>
      </c>
      <c r="H61" s="7" t="n">
        <v>25.75</v>
      </c>
    </row>
    <row r="62">
      <c r="A62" s="6" t="inlineStr">
        <is>
          <t>D RAJA</t>
        </is>
      </c>
      <c r="B62" s="6" t="inlineStr">
        <is>
          <t>PROD BELT</t>
        </is>
      </c>
      <c r="C62" s="7" t="n">
        <v>550</v>
      </c>
      <c r="D62" s="7" t="n">
        <v>24</v>
      </c>
      <c r="E62" s="7" t="n">
        <v>0</v>
      </c>
      <c r="F62" s="7" t="n">
        <v>0</v>
      </c>
      <c r="G62" s="7" t="n">
        <v>0</v>
      </c>
      <c r="H62" s="7" t="n">
        <v>24</v>
      </c>
    </row>
    <row r="63">
      <c r="A63" s="6" t="inlineStr">
        <is>
          <t>U RAMESH</t>
        </is>
      </c>
      <c r="B63" s="6" t="inlineStr">
        <is>
          <t>PROD BELT</t>
        </is>
      </c>
      <c r="C63" s="7" t="n">
        <v>733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</row>
    <row r="64">
      <c r="A64" s="6" t="inlineStr">
        <is>
          <t>U SHRESTHA</t>
        </is>
      </c>
      <c r="B64" s="6" t="inlineStr">
        <is>
          <t>PROD BELT</t>
        </is>
      </c>
      <c r="C64" s="7" t="n">
        <v>330</v>
      </c>
      <c r="D64" s="7" t="n">
        <v>27.25</v>
      </c>
      <c r="E64" s="7" t="n">
        <v>0</v>
      </c>
      <c r="F64" s="7" t="n">
        <v>0</v>
      </c>
      <c r="G64" s="7" t="n">
        <v>0</v>
      </c>
      <c r="H64" s="7" t="n">
        <v>27.25</v>
      </c>
    </row>
    <row r="65">
      <c r="A65" s="6" t="inlineStr">
        <is>
          <t>A THAKKAR</t>
        </is>
      </c>
      <c r="B65" s="6" t="inlineStr">
        <is>
          <t>PROD BELT</t>
        </is>
      </c>
      <c r="C65" s="7" t="n">
        <v>50</v>
      </c>
      <c r="D65" s="7" t="n">
        <v>26.25</v>
      </c>
      <c r="E65" s="7" t="n">
        <v>0</v>
      </c>
      <c r="F65" s="7" t="n">
        <v>0</v>
      </c>
      <c r="G65" s="7" t="n">
        <v>0</v>
      </c>
      <c r="H65" s="7" t="n">
        <v>26.25</v>
      </c>
    </row>
    <row r="66">
      <c r="A66" s="6" t="inlineStr">
        <is>
          <t>N UCARO</t>
        </is>
      </c>
      <c r="B66" s="6" t="inlineStr">
        <is>
          <t>PROD BELT</t>
        </is>
      </c>
      <c r="C66" s="7" t="n">
        <v>663</v>
      </c>
      <c r="D66" s="7" t="n">
        <v>27.25</v>
      </c>
      <c r="E66" s="7" t="n">
        <v>0</v>
      </c>
      <c r="F66" s="7" t="n">
        <v>0</v>
      </c>
      <c r="G66" s="7" t="n">
        <v>0</v>
      </c>
      <c r="H66" s="7" t="n">
        <v>27.25</v>
      </c>
    </row>
    <row r="67">
      <c r="A67" s="6" t="inlineStr">
        <is>
          <t>H BHAGVAN</t>
        </is>
      </c>
      <c r="B67" s="6" t="inlineStr">
        <is>
          <t>PROD FORMING</t>
        </is>
      </c>
      <c r="C67" s="7" t="n">
        <v>741</v>
      </c>
      <c r="D67" s="7" t="n">
        <v>36</v>
      </c>
      <c r="E67" s="7" t="n">
        <v>4.25</v>
      </c>
      <c r="F67" s="7" t="n">
        <v>0</v>
      </c>
      <c r="G67" s="7" t="n">
        <v>0</v>
      </c>
      <c r="H67" s="7" t="n">
        <v>40.25</v>
      </c>
    </row>
    <row r="68">
      <c r="A68" s="6" t="inlineStr">
        <is>
          <t>H CALA</t>
        </is>
      </c>
      <c r="B68" s="6" t="inlineStr">
        <is>
          <t>PROD FORMING</t>
        </is>
      </c>
      <c r="C68" s="7" t="n">
        <v>606</v>
      </c>
      <c r="D68" s="7" t="n">
        <v>24</v>
      </c>
      <c r="E68" s="7" t="n">
        <v>0</v>
      </c>
      <c r="F68" s="7" t="n">
        <v>0</v>
      </c>
      <c r="G68" s="7" t="n">
        <v>0</v>
      </c>
      <c r="H68" s="7" t="n">
        <v>24</v>
      </c>
    </row>
    <row r="69">
      <c r="A69" s="6" t="inlineStr">
        <is>
          <t>A CARVALHO</t>
        </is>
      </c>
      <c r="B69" s="6" t="inlineStr">
        <is>
          <t>PROD FORMING</t>
        </is>
      </c>
      <c r="C69" s="7" t="n">
        <v>444</v>
      </c>
      <c r="D69" s="7" t="n">
        <v>31.75</v>
      </c>
      <c r="E69" s="7" t="n">
        <v>0</v>
      </c>
      <c r="F69" s="7" t="n">
        <v>0</v>
      </c>
      <c r="G69" s="7" t="n">
        <v>0</v>
      </c>
      <c r="H69" s="7" t="n">
        <v>31.75</v>
      </c>
    </row>
    <row r="70">
      <c r="A70" s="6" t="inlineStr">
        <is>
          <t>U HARJI</t>
        </is>
      </c>
      <c r="B70" s="6" t="inlineStr">
        <is>
          <t>PROD FORMING</t>
        </is>
      </c>
      <c r="C70" s="7" t="n">
        <v>739</v>
      </c>
      <c r="D70" s="7" t="n">
        <v>27.5</v>
      </c>
      <c r="E70" s="7" t="n">
        <v>0</v>
      </c>
      <c r="F70" s="7" t="n">
        <v>0</v>
      </c>
      <c r="G70" s="7" t="n">
        <v>0</v>
      </c>
      <c r="H70" s="7" t="n">
        <v>27.5</v>
      </c>
    </row>
    <row r="71">
      <c r="A71" s="6" t="inlineStr">
        <is>
          <t>B NARSINH VAISHYA</t>
        </is>
      </c>
      <c r="B71" s="6" t="inlineStr">
        <is>
          <t>PROD FORMING</t>
        </is>
      </c>
      <c r="C71" s="7" t="n">
        <v>738</v>
      </c>
      <c r="D71" s="7" t="n">
        <v>27.25</v>
      </c>
      <c r="E71" s="7" t="n">
        <v>0</v>
      </c>
      <c r="F71" s="7" t="n">
        <v>0</v>
      </c>
      <c r="G71" s="7" t="n">
        <v>0</v>
      </c>
      <c r="H71" s="7" t="n">
        <v>27.25</v>
      </c>
    </row>
    <row r="72">
      <c r="A72" s="6" t="inlineStr">
        <is>
          <t>S VARJANGUE</t>
        </is>
      </c>
      <c r="B72" s="6" t="inlineStr">
        <is>
          <t>PROD FORMING</t>
        </is>
      </c>
      <c r="C72" s="7" t="n">
        <v>528</v>
      </c>
      <c r="D72" s="7" t="n">
        <v>29.25</v>
      </c>
      <c r="E72" s="7" t="n">
        <v>4.25</v>
      </c>
      <c r="F72" s="7" t="n">
        <v>0</v>
      </c>
      <c r="G72" s="7" t="n">
        <v>0</v>
      </c>
      <c r="H72" s="7" t="n">
        <v>33.5</v>
      </c>
    </row>
    <row r="73">
      <c r="A73" s="6" t="inlineStr">
        <is>
          <t>A AKRITI</t>
        </is>
      </c>
      <c r="B73" s="6" t="inlineStr">
        <is>
          <t>PROD FRYING</t>
        </is>
      </c>
      <c r="C73" s="7" t="n">
        <v>709</v>
      </c>
      <c r="D73" s="7" t="n">
        <v>27.5</v>
      </c>
      <c r="E73" s="7" t="n">
        <v>0</v>
      </c>
      <c r="F73" s="7" t="n">
        <v>0</v>
      </c>
      <c r="G73" s="7" t="n">
        <v>0</v>
      </c>
      <c r="H73" s="7" t="n">
        <v>27.5</v>
      </c>
    </row>
    <row r="74">
      <c r="A74" s="6" t="inlineStr">
        <is>
          <t>R BAHADUR BHANDARI</t>
        </is>
      </c>
      <c r="B74" s="6" t="inlineStr">
        <is>
          <t>PROD FRYING</t>
        </is>
      </c>
      <c r="C74" s="7" t="n">
        <v>700</v>
      </c>
      <c r="D74" s="7" t="n">
        <v>37.25</v>
      </c>
      <c r="E74" s="7" t="n">
        <v>7</v>
      </c>
      <c r="F74" s="7" t="n">
        <v>0</v>
      </c>
      <c r="G74" s="7" t="n">
        <v>0</v>
      </c>
      <c r="H74" s="7" t="n">
        <v>44.25</v>
      </c>
    </row>
    <row r="75">
      <c r="A75" s="6" t="inlineStr">
        <is>
          <t>P BAHADUR JIREL</t>
        </is>
      </c>
      <c r="B75" s="6" t="inlineStr">
        <is>
          <t>PROD FRYING</t>
        </is>
      </c>
      <c r="C75" s="7" t="n">
        <v>578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</row>
    <row r="76">
      <c r="A76" s="6" t="inlineStr">
        <is>
          <t>L BUTIENE</t>
        </is>
      </c>
      <c r="B76" s="6" t="inlineStr">
        <is>
          <t>PROD FRYING</t>
        </is>
      </c>
      <c r="C76" s="7" t="n">
        <v>21</v>
      </c>
      <c r="D76" s="7" t="n">
        <v>29</v>
      </c>
      <c r="E76" s="7" t="n">
        <v>0</v>
      </c>
      <c r="F76" s="7" t="n">
        <v>0</v>
      </c>
      <c r="G76" s="7" t="n">
        <v>0</v>
      </c>
      <c r="H76" s="7" t="n">
        <v>29</v>
      </c>
    </row>
    <row r="77">
      <c r="A77" s="6" t="inlineStr">
        <is>
          <t>J HANSRAJBHAI VAGHASIYA</t>
        </is>
      </c>
      <c r="B77" s="6" t="inlineStr">
        <is>
          <t>PROD FRYING</t>
        </is>
      </c>
      <c r="C77" s="7" t="n">
        <v>740</v>
      </c>
      <c r="D77" s="7" t="n">
        <v>28.75</v>
      </c>
      <c r="E77" s="7" t="n">
        <v>0</v>
      </c>
      <c r="F77" s="7" t="n">
        <v>0</v>
      </c>
      <c r="G77" s="7" t="n">
        <v>0</v>
      </c>
      <c r="H77" s="7" t="n">
        <v>28.75</v>
      </c>
    </row>
    <row r="78">
      <c r="A78" s="6" t="inlineStr">
        <is>
          <t>C MONIZ</t>
        </is>
      </c>
      <c r="B78" s="6" t="inlineStr">
        <is>
          <t>PROD FRYING</t>
        </is>
      </c>
      <c r="C78" s="7" t="n">
        <v>755</v>
      </c>
      <c r="D78" s="7" t="n">
        <v>25.75</v>
      </c>
      <c r="E78" s="7" t="n">
        <v>0</v>
      </c>
      <c r="F78" s="7" t="n">
        <v>0</v>
      </c>
      <c r="G78" s="7" t="n">
        <v>0</v>
      </c>
      <c r="H78" s="7" t="n">
        <v>25.75</v>
      </c>
    </row>
    <row r="79">
      <c r="A79" s="6" t="inlineStr">
        <is>
          <t>D RAMA</t>
        </is>
      </c>
      <c r="B79" s="6" t="inlineStr">
        <is>
          <t>PROD FRYING</t>
        </is>
      </c>
      <c r="C79" s="7" t="n">
        <v>708</v>
      </c>
      <c r="D79" s="7" t="n">
        <v>33</v>
      </c>
      <c r="E79" s="7" t="n">
        <v>0</v>
      </c>
      <c r="F79" s="7" t="n">
        <v>0</v>
      </c>
      <c r="G79" s="7" t="n">
        <v>0</v>
      </c>
      <c r="H79" s="7" t="n">
        <v>33</v>
      </c>
    </row>
    <row r="80">
      <c r="A80" s="6" t="inlineStr">
        <is>
          <t>S RAMJI</t>
        </is>
      </c>
      <c r="B80" s="6" t="inlineStr">
        <is>
          <t>PROD FRYING</t>
        </is>
      </c>
      <c r="C80" s="7" t="n">
        <v>742</v>
      </c>
      <c r="D80" s="7" t="n">
        <v>31.75</v>
      </c>
      <c r="E80" s="7" t="n">
        <v>0</v>
      </c>
      <c r="F80" s="7" t="n">
        <v>0</v>
      </c>
      <c r="G80" s="7" t="n">
        <v>0</v>
      </c>
      <c r="H80" s="7" t="n">
        <v>31.75</v>
      </c>
    </row>
    <row r="81">
      <c r="A81" s="6" t="inlineStr">
        <is>
          <t>S ADHIKARI KARKI</t>
        </is>
      </c>
      <c r="B81" s="6" t="inlineStr">
        <is>
          <t>PROD PREPARATION</t>
        </is>
      </c>
      <c r="C81" s="7" t="n">
        <v>736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</row>
    <row r="82">
      <c r="A82" s="6" t="inlineStr">
        <is>
          <t>P CANGI</t>
        </is>
      </c>
      <c r="B82" s="6" t="inlineStr">
        <is>
          <t>PROD PREPARATION</t>
        </is>
      </c>
      <c r="C82" s="7" t="n">
        <v>483</v>
      </c>
      <c r="D82" s="7" t="n">
        <v>27.25</v>
      </c>
      <c r="E82" s="7" t="n">
        <v>0</v>
      </c>
      <c r="F82" s="7" t="n">
        <v>0</v>
      </c>
      <c r="G82" s="7" t="n">
        <v>0</v>
      </c>
      <c r="H82" s="7" t="n">
        <v>27.25</v>
      </c>
    </row>
    <row r="83">
      <c r="A83" s="6" t="inlineStr">
        <is>
          <t>R FRANCISCO FERNANDES</t>
        </is>
      </c>
      <c r="B83" s="6" t="inlineStr">
        <is>
          <t>PROD PREPARATION</t>
        </is>
      </c>
      <c r="C83" s="7" t="n">
        <v>613</v>
      </c>
      <c r="D83" s="7" t="n">
        <v>41.25</v>
      </c>
      <c r="E83" s="7" t="n">
        <v>0.25</v>
      </c>
      <c r="F83" s="7" t="n">
        <v>0</v>
      </c>
      <c r="G83" s="7" t="n">
        <v>0</v>
      </c>
      <c r="H83" s="7" t="n">
        <v>41.5</v>
      </c>
    </row>
    <row r="84">
      <c r="A84" s="6" t="inlineStr">
        <is>
          <t>Y JAGDISH</t>
        </is>
      </c>
      <c r="B84" s="6" t="inlineStr">
        <is>
          <t>PROD PREPARATION</t>
        </is>
      </c>
      <c r="C84" s="7" t="n">
        <v>745</v>
      </c>
      <c r="D84" s="7" t="n">
        <v>41.25</v>
      </c>
      <c r="E84" s="7" t="n">
        <v>0</v>
      </c>
      <c r="F84" s="7" t="n">
        <v>0</v>
      </c>
      <c r="G84" s="7" t="n">
        <v>0</v>
      </c>
      <c r="H84" s="7" t="n">
        <v>41.25</v>
      </c>
    </row>
    <row r="85">
      <c r="A85" s="6" t="inlineStr">
        <is>
          <t>C JOAO DA SILVA</t>
        </is>
      </c>
      <c r="B85" s="6" t="inlineStr">
        <is>
          <t>PROD PREPARATION</t>
        </is>
      </c>
      <c r="C85" s="7" t="n">
        <v>627</v>
      </c>
      <c r="D85" s="7" t="n">
        <v>37.75</v>
      </c>
      <c r="E85" s="7" t="n">
        <v>0</v>
      </c>
      <c r="F85" s="7" t="n">
        <v>0</v>
      </c>
      <c r="G85" s="7" t="n">
        <v>0</v>
      </c>
      <c r="H85" s="7" t="n">
        <v>37.75</v>
      </c>
    </row>
    <row r="86">
      <c r="A86" s="6" t="inlineStr">
        <is>
          <t>E KACZMAREK</t>
        </is>
      </c>
      <c r="B86" s="6" t="inlineStr">
        <is>
          <t>PROD PREPARATION</t>
        </is>
      </c>
      <c r="C86" s="7" t="n">
        <v>263</v>
      </c>
      <c r="D86" s="7" t="n">
        <v>34.5</v>
      </c>
      <c r="E86" s="7" t="n">
        <v>0</v>
      </c>
      <c r="F86" s="7" t="n">
        <v>0</v>
      </c>
      <c r="G86" s="7" t="n">
        <v>0</v>
      </c>
      <c r="H86" s="7" t="n">
        <v>34.5</v>
      </c>
    </row>
    <row r="87">
      <c r="A87" s="6" t="inlineStr">
        <is>
          <t>F MINGUEL</t>
        </is>
      </c>
      <c r="B87" s="6" t="inlineStr">
        <is>
          <t>PROD PREPARATION</t>
        </is>
      </c>
      <c r="C87" s="7" t="n">
        <v>485</v>
      </c>
      <c r="D87" s="7" t="n">
        <v>38</v>
      </c>
      <c r="E87" s="7" t="n">
        <v>0</v>
      </c>
      <c r="F87" s="7" t="n">
        <v>0</v>
      </c>
      <c r="G87" s="7" t="n">
        <v>0</v>
      </c>
      <c r="H87" s="7" t="n">
        <v>38</v>
      </c>
    </row>
    <row r="88">
      <c r="A88" s="6" t="inlineStr">
        <is>
          <t>L PEREIRA</t>
        </is>
      </c>
      <c r="B88" s="6" t="inlineStr">
        <is>
          <t>PROD PREPARATION</t>
        </is>
      </c>
      <c r="C88" s="7" t="n">
        <v>583</v>
      </c>
      <c r="D88" s="7" t="n">
        <v>39.75</v>
      </c>
      <c r="E88" s="7" t="n">
        <v>0</v>
      </c>
      <c r="F88" s="7" t="n">
        <v>0</v>
      </c>
      <c r="G88" s="7" t="n">
        <v>0</v>
      </c>
      <c r="H88" s="7" t="n">
        <v>39.75</v>
      </c>
    </row>
    <row r="89">
      <c r="A89" s="6" t="inlineStr">
        <is>
          <t>A SILVA</t>
        </is>
      </c>
      <c r="B89" s="6" t="inlineStr">
        <is>
          <t>PROD PREPARATION</t>
        </is>
      </c>
      <c r="C89" s="7" t="n">
        <v>546</v>
      </c>
      <c r="D89" s="7" t="n">
        <v>41.25</v>
      </c>
      <c r="E89" s="7" t="n">
        <v>7.25</v>
      </c>
      <c r="F89" s="7" t="n">
        <v>0</v>
      </c>
      <c r="G89" s="7" t="n">
        <v>0</v>
      </c>
      <c r="H89" s="7" t="n">
        <v>48.5</v>
      </c>
    </row>
    <row r="90">
      <c r="A90" s="6" t="inlineStr">
        <is>
          <t>G SINGH</t>
        </is>
      </c>
      <c r="B90" s="6" t="inlineStr">
        <is>
          <t>PROD PREPARATION</t>
        </is>
      </c>
      <c r="C90" s="7" t="n">
        <v>675</v>
      </c>
      <c r="D90" s="7" t="n">
        <v>0</v>
      </c>
      <c r="E90" s="7" t="n">
        <v>0</v>
      </c>
      <c r="F90" s="7" t="n">
        <v>0</v>
      </c>
      <c r="G90" s="7" t="n">
        <v>40</v>
      </c>
      <c r="H90" s="7" t="n">
        <v>40</v>
      </c>
    </row>
    <row r="91">
      <c r="A91" s="6" t="inlineStr">
        <is>
          <t>R VIRA</t>
        </is>
      </c>
      <c r="B91" s="6" t="inlineStr">
        <is>
          <t>PROD PREPARATION</t>
        </is>
      </c>
      <c r="C91" s="7" t="n">
        <v>728</v>
      </c>
      <c r="D91" s="7" t="n">
        <v>41.25</v>
      </c>
      <c r="E91" s="7" t="n">
        <v>0</v>
      </c>
      <c r="F91" s="7" t="n">
        <v>0</v>
      </c>
      <c r="G91" s="7" t="n">
        <v>0</v>
      </c>
      <c r="H91" s="7" t="n">
        <v>41.25</v>
      </c>
    </row>
    <row r="92">
      <c r="A92" s="6" t="inlineStr">
        <is>
          <t>M HIMANSHU</t>
        </is>
      </c>
      <c r="B92" s="6" t="inlineStr">
        <is>
          <t>PROD TABLE</t>
        </is>
      </c>
      <c r="C92" s="7" t="n">
        <v>702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</row>
    <row r="93">
      <c r="A93" s="6" t="inlineStr">
        <is>
          <t>B IRA</t>
        </is>
      </c>
      <c r="B93" s="6" t="inlineStr">
        <is>
          <t>PROD TABLE</t>
        </is>
      </c>
      <c r="C93" s="7" t="n">
        <v>703</v>
      </c>
      <c r="D93" s="7" t="n">
        <v>20.75</v>
      </c>
      <c r="E93" s="7" t="n">
        <v>0</v>
      </c>
      <c r="F93" s="7" t="n">
        <v>0</v>
      </c>
      <c r="G93" s="7" t="n">
        <v>0</v>
      </c>
      <c r="H93" s="7" t="n">
        <v>20.75</v>
      </c>
    </row>
    <row r="94">
      <c r="A94" s="6" t="inlineStr">
        <is>
          <t>S JIREL</t>
        </is>
      </c>
      <c r="B94" s="6" t="inlineStr">
        <is>
          <t>PROD TABLE</t>
        </is>
      </c>
      <c r="C94" s="7" t="n">
        <v>711</v>
      </c>
      <c r="D94" s="7" t="n">
        <v>27.25</v>
      </c>
      <c r="E94" s="7" t="n">
        <v>0</v>
      </c>
      <c r="F94" s="7" t="n">
        <v>0</v>
      </c>
      <c r="G94" s="7" t="n">
        <v>0</v>
      </c>
      <c r="H94" s="7" t="n">
        <v>27.25</v>
      </c>
    </row>
    <row r="95">
      <c r="A95" s="6" t="inlineStr">
        <is>
          <t>P LACMANE</t>
        </is>
      </c>
      <c r="B95" s="6" t="inlineStr">
        <is>
          <t>PROD TABLE</t>
        </is>
      </c>
      <c r="C95" s="7" t="n">
        <v>440</v>
      </c>
      <c r="D95" s="7" t="n">
        <v>26.75</v>
      </c>
      <c r="E95" s="7" t="n">
        <v>0</v>
      </c>
      <c r="F95" s="7" t="n">
        <v>0</v>
      </c>
      <c r="G95" s="7" t="n">
        <v>0</v>
      </c>
      <c r="H95" s="7" t="n">
        <v>26.75</v>
      </c>
    </row>
    <row r="96">
      <c r="A96" s="6" t="inlineStr">
        <is>
          <t>R RATNA</t>
        </is>
      </c>
      <c r="B96" s="6" t="inlineStr">
        <is>
          <t>PROD TABLE</t>
        </is>
      </c>
      <c r="C96" s="7" t="n">
        <v>615</v>
      </c>
      <c r="D96" s="7" t="n">
        <v>27.25</v>
      </c>
      <c r="E96" s="7" t="n">
        <v>0</v>
      </c>
      <c r="F96" s="7" t="n">
        <v>0</v>
      </c>
      <c r="G96" s="7" t="n">
        <v>0</v>
      </c>
      <c r="H96" s="7" t="n">
        <v>27.25</v>
      </c>
    </row>
    <row r="97">
      <c r="A97" s="6" t="inlineStr">
        <is>
          <t>L SHAVJI</t>
        </is>
      </c>
      <c r="B97" s="6" t="inlineStr">
        <is>
          <t>PROD TABLE</t>
        </is>
      </c>
      <c r="C97" s="7" t="n">
        <v>699</v>
      </c>
      <c r="D97" s="7" t="n">
        <v>21.75</v>
      </c>
      <c r="E97" s="7" t="n">
        <v>0</v>
      </c>
      <c r="F97" s="7" t="n">
        <v>0</v>
      </c>
      <c r="G97" s="7" t="n">
        <v>8</v>
      </c>
      <c r="H97" s="7" t="n">
        <v>29.75</v>
      </c>
    </row>
    <row r="98">
      <c r="A98" s="6" t="inlineStr">
        <is>
          <t>B TEJESKUMAR</t>
        </is>
      </c>
      <c r="B98" s="6" t="inlineStr">
        <is>
          <t>PROD TABLE</t>
        </is>
      </c>
      <c r="C98" s="7" t="n">
        <v>722</v>
      </c>
      <c r="D98" s="7" t="n">
        <v>0</v>
      </c>
      <c r="E98" s="7" t="n">
        <v>0</v>
      </c>
      <c r="F98" s="7" t="n">
        <v>0</v>
      </c>
      <c r="G98" s="7" t="n">
        <v>40</v>
      </c>
      <c r="H98" s="7" t="n">
        <v>40</v>
      </c>
    </row>
    <row r="99">
      <c r="A99" s="6" t="inlineStr">
        <is>
          <t>M VAHORA</t>
        </is>
      </c>
      <c r="B99" s="6" t="inlineStr">
        <is>
          <t>PROD TABLE</t>
        </is>
      </c>
      <c r="C99" s="7" t="n">
        <v>414</v>
      </c>
      <c r="D99" s="7" t="n">
        <v>26.75</v>
      </c>
      <c r="E99" s="7" t="n">
        <v>0</v>
      </c>
      <c r="F99" s="7" t="n">
        <v>0</v>
      </c>
      <c r="G99" s="7" t="n">
        <v>0</v>
      </c>
      <c r="H99" s="7" t="n">
        <v>26.75</v>
      </c>
    </row>
    <row r="100">
      <c r="A100" s="6" t="inlineStr">
        <is>
          <t>A ALI  SALLAM</t>
        </is>
      </c>
      <c r="B100" s="6" t="inlineStr">
        <is>
          <t>TECH TECHNICAL</t>
        </is>
      </c>
      <c r="C100" s="7" t="n">
        <v>523</v>
      </c>
      <c r="D100" s="7" t="n">
        <v>41</v>
      </c>
      <c r="E100" s="7" t="n">
        <v>0</v>
      </c>
      <c r="F100" s="7" t="n">
        <v>0</v>
      </c>
      <c r="G100" s="7" t="n">
        <v>0</v>
      </c>
      <c r="H100" s="7" t="n">
        <v>41</v>
      </c>
    </row>
    <row r="101">
      <c r="A101" s="6" t="inlineStr">
        <is>
          <t>P KAUR</t>
        </is>
      </c>
      <c r="B101" s="6" t="inlineStr">
        <is>
          <t>TECH TECHNICAL</t>
        </is>
      </c>
      <c r="C101" s="7" t="n">
        <v>417</v>
      </c>
      <c r="D101" s="7" t="n">
        <v>41.25</v>
      </c>
      <c r="E101" s="7" t="n">
        <v>7</v>
      </c>
      <c r="F101" s="7" t="n">
        <v>0</v>
      </c>
      <c r="G101" s="7" t="n">
        <v>0</v>
      </c>
      <c r="H101" s="7" t="n">
        <v>48.25</v>
      </c>
    </row>
    <row r="102">
      <c r="A102" s="6" t="inlineStr">
        <is>
          <t>J PATEL</t>
        </is>
      </c>
      <c r="B102" s="6" t="inlineStr">
        <is>
          <t>TECH TECHNICAL</t>
        </is>
      </c>
      <c r="C102" s="7" t="n">
        <v>678</v>
      </c>
      <c r="D102" s="7" t="n">
        <v>41.25</v>
      </c>
      <c r="E102" s="7" t="n">
        <v>0.5</v>
      </c>
      <c r="F102" s="7" t="n">
        <v>0</v>
      </c>
      <c r="G102" s="7" t="n">
        <v>0</v>
      </c>
      <c r="H102" s="7" t="n">
        <v>41.75</v>
      </c>
    </row>
    <row r="103">
      <c r="A103" s="6" t="inlineStr">
        <is>
          <t>H R DOMADIYA</t>
        </is>
      </c>
      <c r="B103" s="6" t="inlineStr">
        <is>
          <t>TECH TECHNICAL</t>
        </is>
      </c>
      <c r="C103" s="7" t="n">
        <v>682</v>
      </c>
      <c r="D103" s="7" t="n">
        <v>41.25</v>
      </c>
      <c r="E103" s="7" t="n">
        <v>4.75</v>
      </c>
      <c r="F103" s="7" t="n">
        <v>0</v>
      </c>
      <c r="G103" s="7" t="n">
        <v>0</v>
      </c>
      <c r="H103" s="7" t="n">
        <v>46</v>
      </c>
    </row>
    <row r="104">
      <c r="A104" s="6" t="inlineStr">
        <is>
          <t>M SHAH</t>
        </is>
      </c>
      <c r="B104" s="6" t="inlineStr">
        <is>
          <t>TECH TECHNICAL</t>
        </is>
      </c>
      <c r="C104" s="7" t="n">
        <v>308</v>
      </c>
      <c r="D104" s="7" t="n">
        <v>32.5</v>
      </c>
      <c r="E104" s="7" t="n">
        <v>0</v>
      </c>
      <c r="F104" s="7" t="n">
        <v>0</v>
      </c>
      <c r="G104" s="7" t="n">
        <v>0</v>
      </c>
      <c r="H104" s="7" t="n">
        <v>32.5</v>
      </c>
    </row>
    <row r="105">
      <c r="A105" s="6" t="inlineStr">
        <is>
          <t>A AMIT</t>
        </is>
      </c>
      <c r="B105" s="6" t="inlineStr">
        <is>
          <t>WRHS</t>
        </is>
      </c>
      <c r="C105" s="7" t="n">
        <v>674</v>
      </c>
      <c r="D105" s="7" t="n">
        <v>41.25</v>
      </c>
      <c r="E105" s="7" t="n">
        <v>8.75</v>
      </c>
      <c r="F105" s="7" t="n">
        <v>0</v>
      </c>
      <c r="G105" s="7" t="n">
        <v>0</v>
      </c>
      <c r="H105" s="7" t="n">
        <v>50</v>
      </c>
    </row>
    <row r="106">
      <c r="A106" s="6" t="inlineStr">
        <is>
          <t>W GRZEGORZ KOPACZ</t>
        </is>
      </c>
      <c r="B106" s="6" t="inlineStr">
        <is>
          <t>WRHS</t>
        </is>
      </c>
      <c r="C106" s="7" t="n">
        <v>592</v>
      </c>
      <c r="D106" s="7" t="n">
        <v>37.25</v>
      </c>
      <c r="E106" s="7" t="n">
        <v>0</v>
      </c>
      <c r="F106" s="7" t="n">
        <v>0</v>
      </c>
      <c r="G106" s="7" t="n">
        <v>0</v>
      </c>
      <c r="H106" s="7" t="n">
        <v>37.25</v>
      </c>
    </row>
    <row r="107">
      <c r="A107" s="6" t="inlineStr">
        <is>
          <t>A SAHOTA</t>
        </is>
      </c>
      <c r="B107" s="6" t="inlineStr">
        <is>
          <t>WRHS</t>
        </is>
      </c>
      <c r="C107" s="7" t="n">
        <v>680</v>
      </c>
      <c r="D107" s="7" t="n">
        <v>41.25</v>
      </c>
      <c r="E107" s="7" t="n">
        <v>10</v>
      </c>
      <c r="F107" s="7" t="n">
        <v>0</v>
      </c>
      <c r="G107" s="7" t="n">
        <v>0</v>
      </c>
      <c r="H107" s="7" t="n">
        <v>51.25</v>
      </c>
    </row>
    <row r="108">
      <c r="A108" s="6" t="inlineStr">
        <is>
          <t>S SUBRAMANI</t>
        </is>
      </c>
      <c r="B108" s="6" t="inlineStr">
        <is>
          <t>WRHS</t>
        </is>
      </c>
      <c r="C108" s="7" t="n">
        <v>205</v>
      </c>
      <c r="D108" s="7" t="n">
        <v>30</v>
      </c>
      <c r="E108" s="7" t="n">
        <v>0</v>
      </c>
      <c r="F108" s="7" t="n">
        <v>7.75</v>
      </c>
      <c r="G108" s="7" t="n">
        <v>0</v>
      </c>
      <c r="H108" s="7" t="n">
        <v>37.75</v>
      </c>
    </row>
    <row r="109">
      <c r="A109" s="6" t="inlineStr">
        <is>
          <t>R BABU EOLL</t>
        </is>
      </c>
      <c r="B109" s="6" t="inlineStr">
        <is>
          <t>A-EL CLNR</t>
        </is>
      </c>
      <c r="C109" s="7" t="n">
        <v>0</v>
      </c>
      <c r="D109" s="7" t="n">
        <v>30.75</v>
      </c>
      <c r="E109" s="7" t="n">
        <v>0</v>
      </c>
      <c r="F109" s="7" t="n">
        <v>0</v>
      </c>
      <c r="G109" s="7" t="n">
        <v>0</v>
      </c>
      <c r="H109" s="7" t="n">
        <v>30.75</v>
      </c>
    </row>
    <row r="110">
      <c r="A110" s="6" t="inlineStr">
        <is>
          <t>D BAMANIA EOLL</t>
        </is>
      </c>
      <c r="B110" s="6" t="inlineStr">
        <is>
          <t>A-EL CLNR</t>
        </is>
      </c>
      <c r="C110" s="7" t="n">
        <v>0</v>
      </c>
      <c r="D110" s="7" t="n">
        <v>36</v>
      </c>
      <c r="E110" s="7" t="n">
        <v>0</v>
      </c>
      <c r="F110" s="7" t="n">
        <v>0</v>
      </c>
      <c r="G110" s="7" t="n">
        <v>0</v>
      </c>
      <c r="H110" s="7" t="n">
        <v>36</v>
      </c>
    </row>
    <row r="111">
      <c r="A111" s="6" t="inlineStr">
        <is>
          <t>S CHAGANA EOLL</t>
        </is>
      </c>
      <c r="B111" s="6" t="inlineStr">
        <is>
          <t>A-EL CLNR</t>
        </is>
      </c>
      <c r="C111" s="7" t="n">
        <v>0</v>
      </c>
      <c r="D111" s="7" t="n">
        <v>32.75</v>
      </c>
      <c r="E111" s="7" t="n">
        <v>7.75</v>
      </c>
      <c r="F111" s="7" t="n">
        <v>0</v>
      </c>
      <c r="G111" s="7" t="n">
        <v>0</v>
      </c>
      <c r="H111" s="7" t="n">
        <v>40.5</v>
      </c>
    </row>
    <row r="112">
      <c r="A112" s="6" t="inlineStr">
        <is>
          <t>K NATVAR EOLL</t>
        </is>
      </c>
      <c r="B112" s="6" t="inlineStr">
        <is>
          <t>A-EL CLNR</t>
        </is>
      </c>
      <c r="C112" s="7" t="n">
        <v>0</v>
      </c>
      <c r="D112" s="7" t="n">
        <v>33.75</v>
      </c>
      <c r="E112" s="7" t="n">
        <v>6</v>
      </c>
      <c r="F112" s="7" t="n">
        <v>0</v>
      </c>
      <c r="G112" s="7" t="n">
        <v>0</v>
      </c>
      <c r="H112" s="7" t="n">
        <v>39.75</v>
      </c>
    </row>
    <row r="113">
      <c r="A113" s="6" t="inlineStr">
        <is>
          <t>L SOMA EOLL</t>
        </is>
      </c>
      <c r="B113" s="6" t="inlineStr">
        <is>
          <t>A-EL CLNR</t>
        </is>
      </c>
      <c r="C113" s="7" t="n">
        <v>0</v>
      </c>
      <c r="D113" s="7" t="n">
        <v>29</v>
      </c>
      <c r="E113" s="7" t="n">
        <v>3.75</v>
      </c>
      <c r="F113" s="7" t="n">
        <v>0</v>
      </c>
      <c r="G113" s="7" t="n">
        <v>0</v>
      </c>
      <c r="H113" s="7" t="n">
        <v>32.75</v>
      </c>
    </row>
    <row r="114">
      <c r="A114" s="6" t="inlineStr">
        <is>
          <t>D VIRA EOLL</t>
        </is>
      </c>
      <c r="B114" s="6" t="inlineStr">
        <is>
          <t>A-EL CLNR</t>
        </is>
      </c>
      <c r="C114" s="7" t="n">
        <v>0</v>
      </c>
      <c r="D114" s="7" t="n">
        <v>30.75</v>
      </c>
      <c r="E114" s="7" t="n">
        <v>0</v>
      </c>
      <c r="F114" s="7" t="n">
        <v>0</v>
      </c>
      <c r="G114" s="7" t="n">
        <v>0</v>
      </c>
      <c r="H114" s="7" t="n">
        <v>30.75</v>
      </c>
    </row>
    <row r="115">
      <c r="A115" s="6" t="inlineStr">
        <is>
          <t>A VIRA EOLL</t>
        </is>
      </c>
      <c r="B115" s="6" t="inlineStr">
        <is>
          <t>A-EL DPCH</t>
        </is>
      </c>
      <c r="C115" s="7" t="n">
        <v>0</v>
      </c>
      <c r="D115" s="7" t="n">
        <v>35.5</v>
      </c>
      <c r="E115" s="7" t="n">
        <v>0</v>
      </c>
      <c r="F115" s="7" t="n">
        <v>0</v>
      </c>
      <c r="G115" s="7" t="n">
        <v>0</v>
      </c>
      <c r="H115" s="7" t="n">
        <v>35.5</v>
      </c>
    </row>
    <row r="116">
      <c r="A116" s="6" t="inlineStr">
        <is>
          <t>K BHALALA EOLL</t>
        </is>
      </c>
      <c r="B116" s="6" t="inlineStr">
        <is>
          <t>A-EL PKNG HIGH_RISK</t>
        </is>
      </c>
      <c r="C116" s="7" t="n">
        <v>0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0</v>
      </c>
    </row>
    <row r="117">
      <c r="A117" s="6" t="inlineStr">
        <is>
          <t>S BIPINBHAI DOBARIYA EOLL</t>
        </is>
      </c>
      <c r="B117" s="6" t="inlineStr">
        <is>
          <t>A-EL PKNG HIGH_RISK</t>
        </is>
      </c>
      <c r="C117" s="7" t="n">
        <v>0</v>
      </c>
      <c r="D117" s="7" t="n">
        <v>7.25</v>
      </c>
      <c r="E117" s="7" t="n">
        <v>0</v>
      </c>
      <c r="F117" s="7" t="n">
        <v>0</v>
      </c>
      <c r="G117" s="7" t="n">
        <v>0</v>
      </c>
      <c r="H117" s="7" t="n">
        <v>7.25</v>
      </c>
    </row>
    <row r="118">
      <c r="A118" s="6" t="inlineStr">
        <is>
          <t>H CHAGAN EOLL</t>
        </is>
      </c>
      <c r="B118" s="6" t="inlineStr">
        <is>
          <t>A-EL PKNG HIGH_RISK</t>
        </is>
      </c>
      <c r="C118" s="7" t="n">
        <v>0</v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</row>
    <row r="119">
      <c r="A119" s="6" t="inlineStr">
        <is>
          <t>A CHOTALA EOLL</t>
        </is>
      </c>
      <c r="B119" s="6" t="inlineStr">
        <is>
          <t>A-EL PKNG HIGH_RISK</t>
        </is>
      </c>
      <c r="C119" s="7" t="n">
        <v>0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</row>
    <row r="120">
      <c r="A120" s="6" t="inlineStr">
        <is>
          <t>M CORREIA EOLL</t>
        </is>
      </c>
      <c r="B120" s="6" t="inlineStr">
        <is>
          <t>A-EL PKNG HIGH_RISK</t>
        </is>
      </c>
      <c r="C120" s="7" t="n">
        <v>0</v>
      </c>
      <c r="D120" s="7" t="n">
        <v>29.5</v>
      </c>
      <c r="E120" s="7" t="n">
        <v>0</v>
      </c>
      <c r="F120" s="7" t="n">
        <v>0</v>
      </c>
      <c r="G120" s="7" t="n">
        <v>0</v>
      </c>
      <c r="H120" s="7" t="n">
        <v>29.5</v>
      </c>
    </row>
    <row r="121">
      <c r="A121" s="6" t="inlineStr">
        <is>
          <t>R DEVJI BAMANIA EOLL</t>
        </is>
      </c>
      <c r="B121" s="6" t="inlineStr">
        <is>
          <t>A-EL PKNG HIGH_RISK</t>
        </is>
      </c>
      <c r="C121" s="7" t="n">
        <v>0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</row>
    <row r="122">
      <c r="A122" s="6" t="inlineStr">
        <is>
          <t>P DONGA EOLL</t>
        </is>
      </c>
      <c r="B122" s="6" t="inlineStr">
        <is>
          <t>A-EL PKNG HIGH_RISK</t>
        </is>
      </c>
      <c r="C122" s="7" t="n">
        <v>0</v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</row>
    <row r="123">
      <c r="A123" s="6" t="inlineStr">
        <is>
          <t>M GOVIND EOLL</t>
        </is>
      </c>
      <c r="B123" s="6" t="inlineStr">
        <is>
          <t>A-EL PKNG HIGH_RISK</t>
        </is>
      </c>
      <c r="C123" s="7" t="n">
        <v>0</v>
      </c>
      <c r="D123" s="7" t="n">
        <v>36.5</v>
      </c>
      <c r="E123" s="7" t="n">
        <v>0</v>
      </c>
      <c r="F123" s="7" t="n">
        <v>0</v>
      </c>
      <c r="G123" s="7" t="n">
        <v>0</v>
      </c>
      <c r="H123" s="7" t="n">
        <v>36.5</v>
      </c>
    </row>
    <row r="124">
      <c r="A124" s="6" t="inlineStr">
        <is>
          <t>G GUNABHAI DEVANI EOLL</t>
        </is>
      </c>
      <c r="B124" s="6" t="inlineStr">
        <is>
          <t>A-EL PKNG HIGH_RISK</t>
        </is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</v>
      </c>
    </row>
    <row r="125">
      <c r="A125" s="6" t="inlineStr">
        <is>
          <t>K HASMUKHBHAI CHATALIYA EOLL</t>
        </is>
      </c>
      <c r="B125" s="6" t="inlineStr">
        <is>
          <t>A-EL PKNG HIGH_RISK</t>
        </is>
      </c>
      <c r="C125" s="7" t="n">
        <v>0</v>
      </c>
      <c r="D125" s="7" t="n">
        <v>6.75</v>
      </c>
      <c r="E125" s="7" t="n">
        <v>0</v>
      </c>
      <c r="F125" s="7" t="n">
        <v>0</v>
      </c>
      <c r="G125" s="7" t="n">
        <v>0</v>
      </c>
      <c r="H125" s="7" t="n">
        <v>6.75</v>
      </c>
    </row>
    <row r="126">
      <c r="A126" s="6" t="inlineStr">
        <is>
          <t>S JASOHIYA EOLL</t>
        </is>
      </c>
      <c r="B126" s="6" t="inlineStr">
        <is>
          <t>A-EL PKNG HIGH_RISK</t>
        </is>
      </c>
      <c r="C126" s="7" t="n">
        <v>0</v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</v>
      </c>
    </row>
    <row r="127">
      <c r="A127" s="6" t="inlineStr">
        <is>
          <t>H KHUNT EOLL</t>
        </is>
      </c>
      <c r="B127" s="6" t="inlineStr">
        <is>
          <t>A-EL PKNG HIGH_RISK</t>
        </is>
      </c>
      <c r="C127" s="7" t="n">
        <v>0</v>
      </c>
      <c r="D127" s="7" t="n">
        <v>29.5</v>
      </c>
      <c r="E127" s="7" t="n">
        <v>0</v>
      </c>
      <c r="F127" s="7" t="n">
        <v>0</v>
      </c>
      <c r="G127" s="7" t="n">
        <v>0</v>
      </c>
      <c r="H127" s="7" t="n">
        <v>29.5</v>
      </c>
    </row>
    <row r="128">
      <c r="A128" s="6" t="inlineStr">
        <is>
          <t>K KIRAN PATEL EOLL</t>
        </is>
      </c>
      <c r="B128" s="6" t="inlineStr">
        <is>
          <t>A-EL PKNG HIGH_RISK</t>
        </is>
      </c>
      <c r="C128" s="7" t="n">
        <v>0</v>
      </c>
      <c r="D128" s="7" t="n">
        <v>14.75</v>
      </c>
      <c r="E128" s="7" t="n">
        <v>0</v>
      </c>
      <c r="F128" s="7" t="n">
        <v>0</v>
      </c>
      <c r="G128" s="7" t="n">
        <v>0</v>
      </c>
      <c r="H128" s="7" t="n">
        <v>14.75</v>
      </c>
    </row>
    <row r="129">
      <c r="A129" s="6" t="inlineStr">
        <is>
          <t>A KUMARI YADAV EOLL</t>
        </is>
      </c>
      <c r="B129" s="6" t="inlineStr">
        <is>
          <t>A-EL PKNG HIGH_RISK</t>
        </is>
      </c>
      <c r="C129" s="7" t="n">
        <v>0</v>
      </c>
      <c r="D129" s="7" t="n">
        <v>0</v>
      </c>
      <c r="E129" s="7" t="n">
        <v>0</v>
      </c>
      <c r="F129" s="7" t="n">
        <v>0</v>
      </c>
      <c r="G129" s="7" t="n">
        <v>0</v>
      </c>
      <c r="H129" s="7" t="n">
        <v>0</v>
      </c>
    </row>
    <row r="130">
      <c r="A130" s="6" t="inlineStr">
        <is>
          <t>A KUNJADIYA EOLL</t>
        </is>
      </c>
      <c r="B130" s="6" t="inlineStr">
        <is>
          <t>A-EL PKNG HIGH_RISK</t>
        </is>
      </c>
      <c r="C130" s="7" t="n">
        <v>0</v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</row>
    <row r="131">
      <c r="A131" s="6" t="inlineStr">
        <is>
          <t>J MAYENKAR EOLL</t>
        </is>
      </c>
      <c r="B131" s="6" t="inlineStr">
        <is>
          <t>A-EL PKNG HIGH_RISK</t>
        </is>
      </c>
      <c r="C131" s="7" t="n">
        <v>0</v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0</v>
      </c>
    </row>
    <row r="132">
      <c r="A132" s="6" t="inlineStr">
        <is>
          <t>J MENDAPARA EOLL</t>
        </is>
      </c>
      <c r="B132" s="6" t="inlineStr">
        <is>
          <t>A-EL PKNG HIGH_RISK</t>
        </is>
      </c>
      <c r="C132" s="7" t="n">
        <v>0</v>
      </c>
      <c r="D132" s="7" t="n">
        <v>37.5</v>
      </c>
      <c r="E132" s="7" t="n">
        <v>0</v>
      </c>
      <c r="F132" s="7" t="n">
        <v>0</v>
      </c>
      <c r="G132" s="7" t="n">
        <v>0</v>
      </c>
      <c r="H132" s="7" t="n">
        <v>37.5</v>
      </c>
    </row>
    <row r="133">
      <c r="A133" s="6" t="inlineStr">
        <is>
          <t>S MOTISARIYA EOLL</t>
        </is>
      </c>
      <c r="B133" s="6" t="inlineStr">
        <is>
          <t>A-EL PKNG HIGH_RISK</t>
        </is>
      </c>
      <c r="C133" s="7" t="n">
        <v>0</v>
      </c>
      <c r="D133" s="7" t="n">
        <v>14.5</v>
      </c>
      <c r="E133" s="7" t="n">
        <v>0</v>
      </c>
      <c r="F133" s="7" t="n">
        <v>0</v>
      </c>
      <c r="G133" s="7" t="n">
        <v>0</v>
      </c>
      <c r="H133" s="7" t="n">
        <v>14.5</v>
      </c>
    </row>
    <row r="134">
      <c r="A134" s="6" t="inlineStr">
        <is>
          <t>R NANJI EOLL</t>
        </is>
      </c>
      <c r="B134" s="6" t="inlineStr">
        <is>
          <t>A-EL PKNG HIGH_RISK</t>
        </is>
      </c>
      <c r="C134" s="7" t="n">
        <v>0</v>
      </c>
      <c r="D134" s="7" t="n">
        <v>23.25</v>
      </c>
      <c r="E134" s="7" t="n">
        <v>0</v>
      </c>
      <c r="F134" s="7" t="n">
        <v>0</v>
      </c>
      <c r="G134" s="7" t="n">
        <v>0</v>
      </c>
      <c r="H134" s="7" t="n">
        <v>23.25</v>
      </c>
    </row>
    <row r="135">
      <c r="A135" s="6" t="inlineStr">
        <is>
          <t>M PARTH MESHIYA EOLL</t>
        </is>
      </c>
      <c r="B135" s="6" t="inlineStr">
        <is>
          <t>A-EL PKNG HIGH_RISK</t>
        </is>
      </c>
      <c r="C135" s="7" t="n">
        <v>0</v>
      </c>
      <c r="D135" s="7" t="n">
        <v>0</v>
      </c>
      <c r="E135" s="7" t="n">
        <v>0</v>
      </c>
      <c r="F135" s="7" t="n">
        <v>0</v>
      </c>
      <c r="G135" s="7" t="n">
        <v>0</v>
      </c>
      <c r="H135" s="7" t="n">
        <v>0</v>
      </c>
    </row>
    <row r="136">
      <c r="A136" s="6" t="inlineStr">
        <is>
          <t>A PATEL EOLL</t>
        </is>
      </c>
      <c r="B136" s="6" t="inlineStr">
        <is>
          <t>A-EL PKNG HIGH_RISK</t>
        </is>
      </c>
      <c r="C136" s="7" t="n">
        <v>0</v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</v>
      </c>
    </row>
    <row r="137">
      <c r="A137" s="6" t="inlineStr">
        <is>
          <t>N PATEL EOLL</t>
        </is>
      </c>
      <c r="B137" s="6" t="inlineStr">
        <is>
          <t>A-EL PKNG HIGH_RISK</t>
        </is>
      </c>
      <c r="C137" s="7" t="n">
        <v>0</v>
      </c>
      <c r="D137" s="7" t="n">
        <v>0</v>
      </c>
      <c r="E137" s="7" t="n">
        <v>0</v>
      </c>
      <c r="F137" s="7" t="n">
        <v>0</v>
      </c>
      <c r="G137" s="7" t="n">
        <v>0</v>
      </c>
      <c r="H137" s="7" t="n">
        <v>0</v>
      </c>
    </row>
    <row r="138">
      <c r="A138" s="6" t="inlineStr">
        <is>
          <t>P PATEL EOLL</t>
        </is>
      </c>
      <c r="B138" s="6" t="inlineStr">
        <is>
          <t>A-EL PKNG HIGH_RISK</t>
        </is>
      </c>
      <c r="C138" s="7" t="n">
        <v>0</v>
      </c>
      <c r="D138" s="7" t="n">
        <v>7.25</v>
      </c>
      <c r="E138" s="7" t="n">
        <v>0</v>
      </c>
      <c r="F138" s="7" t="n">
        <v>0</v>
      </c>
      <c r="G138" s="7" t="n">
        <v>0</v>
      </c>
      <c r="H138" s="7" t="n">
        <v>7.25</v>
      </c>
    </row>
    <row r="139">
      <c r="A139" s="6" t="inlineStr">
        <is>
          <t>S PATEL EOLL</t>
        </is>
      </c>
      <c r="B139" s="6" t="inlineStr">
        <is>
          <t>A-EL PKNG HIGH_RISK</t>
        </is>
      </c>
      <c r="C139" s="7" t="n">
        <v>0</v>
      </c>
      <c r="D139" s="7" t="n">
        <v>0</v>
      </c>
      <c r="E139" s="7" t="n">
        <v>0</v>
      </c>
      <c r="F139" s="7" t="n">
        <v>0</v>
      </c>
      <c r="G139" s="7" t="n">
        <v>0</v>
      </c>
      <c r="H139" s="7" t="n">
        <v>0</v>
      </c>
    </row>
    <row r="140">
      <c r="A140" s="6" t="inlineStr">
        <is>
          <t>V PATEL EOLL</t>
        </is>
      </c>
      <c r="B140" s="6" t="inlineStr">
        <is>
          <t>A-EL PKNG HIGH_RISK</t>
        </is>
      </c>
      <c r="C140" s="7" t="n">
        <v>0</v>
      </c>
      <c r="D140" s="7" t="n">
        <v>30</v>
      </c>
      <c r="E140" s="7" t="n">
        <v>0</v>
      </c>
      <c r="F140" s="7" t="n">
        <v>0</v>
      </c>
      <c r="G140" s="7" t="n">
        <v>0</v>
      </c>
      <c r="H140" s="7" t="n">
        <v>30</v>
      </c>
    </row>
    <row r="141">
      <c r="A141" s="6" t="inlineStr">
        <is>
          <t>J RAMESH EOLL</t>
        </is>
      </c>
      <c r="B141" s="6" t="inlineStr">
        <is>
          <t>A-EL PKNG HIGH_RISK</t>
        </is>
      </c>
      <c r="C141" s="7" t="n">
        <v>0</v>
      </c>
      <c r="D141" s="7" t="n">
        <v>34.25</v>
      </c>
      <c r="E141" s="7" t="n">
        <v>7.25</v>
      </c>
      <c r="F141" s="7" t="n">
        <v>0</v>
      </c>
      <c r="G141" s="7" t="n">
        <v>0</v>
      </c>
      <c r="H141" s="7" t="n">
        <v>41.5</v>
      </c>
    </row>
    <row r="142">
      <c r="A142" s="6" t="inlineStr">
        <is>
          <t>P RAMJI EOLL</t>
        </is>
      </c>
      <c r="B142" s="6" t="inlineStr">
        <is>
          <t>A-EL PKNG HIGH_RISK</t>
        </is>
      </c>
      <c r="C142" s="7" t="n">
        <v>0</v>
      </c>
      <c r="D142" s="7" t="n">
        <v>20.75</v>
      </c>
      <c r="E142" s="7" t="n">
        <v>0</v>
      </c>
      <c r="F142" s="7" t="n">
        <v>0</v>
      </c>
      <c r="G142" s="7" t="n">
        <v>0</v>
      </c>
      <c r="H142" s="7" t="n">
        <v>20.75</v>
      </c>
    </row>
    <row r="143">
      <c r="A143" s="6" t="inlineStr">
        <is>
          <t>P SATISH EOLL</t>
        </is>
      </c>
      <c r="B143" s="6" t="inlineStr">
        <is>
          <t>A-EL PKNG HIGH_RISK</t>
        </is>
      </c>
      <c r="C143" s="7" t="n">
        <v>0</v>
      </c>
      <c r="D143" s="7" t="n">
        <v>14.75</v>
      </c>
      <c r="E143" s="7" t="n">
        <v>0</v>
      </c>
      <c r="F143" s="7" t="n">
        <v>0</v>
      </c>
      <c r="G143" s="7" t="n">
        <v>0</v>
      </c>
      <c r="H143" s="7" t="n">
        <v>14.75</v>
      </c>
    </row>
    <row r="144">
      <c r="A144" s="6" t="inlineStr">
        <is>
          <t>J SAVSARIYA EOLL</t>
        </is>
      </c>
      <c r="B144" s="6" t="inlineStr">
        <is>
          <t>A-EL PKNG HIGH_RISK</t>
        </is>
      </c>
      <c r="C144" s="7" t="n">
        <v>0</v>
      </c>
      <c r="D144" s="7" t="n">
        <v>0</v>
      </c>
      <c r="E144" s="7" t="n">
        <v>0</v>
      </c>
      <c r="F144" s="7" t="n">
        <v>0</v>
      </c>
      <c r="G144" s="7" t="n">
        <v>0</v>
      </c>
      <c r="H144" s="7" t="n">
        <v>0</v>
      </c>
    </row>
    <row r="145">
      <c r="A145" s="6" t="inlineStr">
        <is>
          <t>R VAGHANI EOLL</t>
        </is>
      </c>
      <c r="B145" s="6" t="inlineStr">
        <is>
          <t>A-EL PKNG HIGH_RISK</t>
        </is>
      </c>
      <c r="C145" s="7" t="n">
        <v>0</v>
      </c>
      <c r="D145" s="7" t="n">
        <v>28.75</v>
      </c>
      <c r="E145" s="7" t="n">
        <v>0</v>
      </c>
      <c r="F145" s="7" t="n">
        <v>0</v>
      </c>
      <c r="G145" s="7" t="n">
        <v>0</v>
      </c>
      <c r="H145" s="7" t="n">
        <v>28.75</v>
      </c>
    </row>
    <row r="146">
      <c r="A146" s="6" t="inlineStr">
        <is>
          <t>A VAGHASIYA EOLL</t>
        </is>
      </c>
      <c r="B146" s="6" t="inlineStr">
        <is>
          <t>A-EL PKNG HIGH_RISK</t>
        </is>
      </c>
      <c r="C146" s="7" t="n">
        <v>0</v>
      </c>
      <c r="D146" s="7" t="n">
        <v>29</v>
      </c>
      <c r="E146" s="7" t="n">
        <v>0</v>
      </c>
      <c r="F146" s="7" t="n">
        <v>0</v>
      </c>
      <c r="G146" s="7" t="n">
        <v>0</v>
      </c>
      <c r="H146" s="7" t="n">
        <v>29</v>
      </c>
    </row>
    <row r="147">
      <c r="A147" s="6" t="inlineStr">
        <is>
          <t>J VAGHASIYA EOLL</t>
        </is>
      </c>
      <c r="B147" s="6" t="inlineStr">
        <is>
          <t>A-EL PKNG HIGH_RISK</t>
        </is>
      </c>
      <c r="C147" s="7" t="n">
        <v>0</v>
      </c>
      <c r="D147" s="7" t="n">
        <v>14.5</v>
      </c>
      <c r="E147" s="7" t="n">
        <v>0</v>
      </c>
      <c r="F147" s="7" t="n">
        <v>0</v>
      </c>
      <c r="G147" s="7" t="n">
        <v>0</v>
      </c>
      <c r="H147" s="7" t="n">
        <v>14.5</v>
      </c>
    </row>
    <row r="148">
      <c r="A148" s="6" t="inlineStr">
        <is>
          <t>A AGARWAL EOLL</t>
        </is>
      </c>
      <c r="B148" s="6" t="inlineStr">
        <is>
          <t>A-EL PKNG SLEEVING</t>
        </is>
      </c>
      <c r="C148" s="7" t="n">
        <v>0</v>
      </c>
      <c r="D148" s="7" t="n">
        <v>0</v>
      </c>
      <c r="E148" s="7" t="n">
        <v>0</v>
      </c>
      <c r="F148" s="7" t="n">
        <v>0</v>
      </c>
      <c r="G148" s="7" t="n">
        <v>0</v>
      </c>
      <c r="H148" s="7" t="n">
        <v>0</v>
      </c>
    </row>
    <row r="149">
      <c r="A149" s="6" t="inlineStr">
        <is>
          <t>J BELADIYA EOLL</t>
        </is>
      </c>
      <c r="B149" s="6" t="inlineStr">
        <is>
          <t>A-EL PKNG SLEEVING</t>
        </is>
      </c>
      <c r="C149" s="7" t="n">
        <v>0</v>
      </c>
      <c r="D149" s="7" t="n">
        <v>37</v>
      </c>
      <c r="E149" s="7" t="n">
        <v>0</v>
      </c>
      <c r="F149" s="7" t="n">
        <v>0</v>
      </c>
      <c r="G149" s="7" t="n">
        <v>0</v>
      </c>
      <c r="H149" s="7" t="n">
        <v>37</v>
      </c>
    </row>
    <row r="150">
      <c r="A150" s="6" t="inlineStr">
        <is>
          <t>B CHAVDA EOLL</t>
        </is>
      </c>
      <c r="B150" s="6" t="inlineStr">
        <is>
          <t>A-EL PKNG SLEEVING</t>
        </is>
      </c>
      <c r="C150" s="7" t="n">
        <v>0</v>
      </c>
      <c r="D150" s="7" t="n">
        <v>0</v>
      </c>
      <c r="E150" s="7" t="n">
        <v>0</v>
      </c>
      <c r="F150" s="7" t="n">
        <v>0</v>
      </c>
      <c r="G150" s="7" t="n">
        <v>0</v>
      </c>
      <c r="H150" s="7" t="n">
        <v>0</v>
      </c>
    </row>
    <row r="151">
      <c r="A151" s="6" t="inlineStr">
        <is>
          <t>V HASMUKHBHAI PATEL EOLL</t>
        </is>
      </c>
      <c r="B151" s="6" t="inlineStr">
        <is>
          <t>A-EL PKNG SLEEVING</t>
        </is>
      </c>
      <c r="C151" s="7" t="n">
        <v>0</v>
      </c>
      <c r="D151" s="7" t="n">
        <v>0</v>
      </c>
      <c r="E151" s="7" t="n">
        <v>0</v>
      </c>
      <c r="F151" s="7" t="n">
        <v>0</v>
      </c>
      <c r="G151" s="7" t="n">
        <v>0</v>
      </c>
      <c r="H151" s="7" t="n">
        <v>0</v>
      </c>
    </row>
    <row r="152">
      <c r="A152" s="6" t="inlineStr">
        <is>
          <t>N JAMNADAS EOLL</t>
        </is>
      </c>
      <c r="B152" s="6" t="inlineStr">
        <is>
          <t>A-EL PKNG SLEEVING</t>
        </is>
      </c>
      <c r="C152" s="7" t="n">
        <v>0</v>
      </c>
      <c r="D152" s="7" t="n">
        <v>0</v>
      </c>
      <c r="E152" s="7" t="n">
        <v>0</v>
      </c>
      <c r="F152" s="7" t="n">
        <v>0</v>
      </c>
      <c r="G152" s="7" t="n">
        <v>0</v>
      </c>
      <c r="H152" s="7" t="n">
        <v>0</v>
      </c>
    </row>
    <row r="153">
      <c r="A153" s="6" t="inlineStr">
        <is>
          <t>H KANANI EOLL</t>
        </is>
      </c>
      <c r="B153" s="6" t="inlineStr">
        <is>
          <t>A-EL PKNG SLEEVING</t>
        </is>
      </c>
      <c r="C153" s="7" t="n">
        <v>0</v>
      </c>
      <c r="D153" s="7" t="n">
        <v>15</v>
      </c>
      <c r="E153" s="7" t="n">
        <v>0</v>
      </c>
      <c r="F153" s="7" t="n">
        <v>0</v>
      </c>
      <c r="G153" s="7" t="n">
        <v>0</v>
      </c>
      <c r="H153" s="7" t="n">
        <v>15</v>
      </c>
    </row>
    <row r="154">
      <c r="A154" s="6" t="inlineStr">
        <is>
          <t>J KOSHTI EOLL</t>
        </is>
      </c>
      <c r="B154" s="6" t="inlineStr">
        <is>
          <t>A-EL PKNG SLEEVING</t>
        </is>
      </c>
      <c r="C154" s="7" t="n">
        <v>0</v>
      </c>
      <c r="D154" s="7" t="n">
        <v>28.75</v>
      </c>
      <c r="E154" s="7" t="n">
        <v>0</v>
      </c>
      <c r="F154" s="7" t="n">
        <v>0</v>
      </c>
      <c r="G154" s="7" t="n">
        <v>0</v>
      </c>
      <c r="H154" s="7" t="n">
        <v>28.75</v>
      </c>
    </row>
    <row r="155">
      <c r="A155" s="6" t="inlineStr">
        <is>
          <t>N MAKVANA EOLL</t>
        </is>
      </c>
      <c r="B155" s="6" t="inlineStr">
        <is>
          <t>A-EL PKNG SLEEVING</t>
        </is>
      </c>
      <c r="C155" s="7" t="n">
        <v>0</v>
      </c>
      <c r="D155" s="7" t="n">
        <v>7.75</v>
      </c>
      <c r="E155" s="7" t="n">
        <v>0</v>
      </c>
      <c r="F155" s="7" t="n">
        <v>0</v>
      </c>
      <c r="G155" s="7" t="n">
        <v>0</v>
      </c>
      <c r="H155" s="7" t="n">
        <v>7.75</v>
      </c>
    </row>
    <row r="156">
      <c r="A156" s="6" t="inlineStr">
        <is>
          <t>D MUKESHKUMAR EOLL</t>
        </is>
      </c>
      <c r="B156" s="6" t="inlineStr">
        <is>
          <t>A-EL PKNG SLEEVING</t>
        </is>
      </c>
      <c r="C156" s="7" t="n">
        <v>0</v>
      </c>
      <c r="D156" s="7" t="n">
        <v>15.25</v>
      </c>
      <c r="E156" s="7" t="n">
        <v>0</v>
      </c>
      <c r="F156" s="7" t="n">
        <v>0</v>
      </c>
      <c r="G156" s="7" t="n">
        <v>0</v>
      </c>
      <c r="H156" s="7" t="n">
        <v>15.25</v>
      </c>
    </row>
    <row r="157">
      <c r="A157" s="6" t="inlineStr">
        <is>
          <t>L PATEL EOLL</t>
        </is>
      </c>
      <c r="B157" s="6" t="inlineStr">
        <is>
          <t>A-EL PKNG SLEEVING</t>
        </is>
      </c>
      <c r="C157" s="7" t="n">
        <v>0</v>
      </c>
      <c r="D157" s="7" t="n">
        <v>0</v>
      </c>
      <c r="E157" s="7" t="n">
        <v>0</v>
      </c>
      <c r="F157" s="7" t="n">
        <v>0</v>
      </c>
      <c r="G157" s="7" t="n">
        <v>0</v>
      </c>
      <c r="H157" s="7" t="n">
        <v>0</v>
      </c>
    </row>
    <row r="158">
      <c r="A158" s="6" t="inlineStr">
        <is>
          <t>N PETHANI EOLL</t>
        </is>
      </c>
      <c r="B158" s="6" t="inlineStr">
        <is>
          <t>A-EL PKNG SLEEVING</t>
        </is>
      </c>
      <c r="C158" s="7" t="n">
        <v>0</v>
      </c>
      <c r="D158" s="7" t="n">
        <v>14.25</v>
      </c>
      <c r="E158" s="7" t="n">
        <v>0</v>
      </c>
      <c r="F158" s="7" t="n">
        <v>0</v>
      </c>
      <c r="G158" s="7" t="n">
        <v>0</v>
      </c>
      <c r="H158" s="7" t="n">
        <v>14.25</v>
      </c>
    </row>
    <row r="159">
      <c r="A159" s="6" t="inlineStr">
        <is>
          <t>N RAMESH EOLL</t>
        </is>
      </c>
      <c r="B159" s="6" t="inlineStr">
        <is>
          <t>A-EL PKNG SLEEVING</t>
        </is>
      </c>
      <c r="C159" s="7" t="n">
        <v>0</v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</row>
    <row r="160">
      <c r="A160" s="6" t="inlineStr">
        <is>
          <t>N RATHOD EOLL</t>
        </is>
      </c>
      <c r="B160" s="6" t="inlineStr">
        <is>
          <t>A-EL PKNG SLEEVING</t>
        </is>
      </c>
      <c r="C160" s="7" t="n">
        <v>0</v>
      </c>
      <c r="D160" s="7" t="n">
        <v>14.25</v>
      </c>
      <c r="E160" s="7" t="n">
        <v>0</v>
      </c>
      <c r="F160" s="7" t="n">
        <v>0</v>
      </c>
      <c r="G160" s="7" t="n">
        <v>0</v>
      </c>
      <c r="H160" s="7" t="n">
        <v>14.25</v>
      </c>
    </row>
    <row r="161">
      <c r="A161" s="6" t="inlineStr">
        <is>
          <t>G ROHITBHAI PATEL EOLL</t>
        </is>
      </c>
      <c r="B161" s="6" t="inlineStr">
        <is>
          <t>A-EL PKNG SLEEVING</t>
        </is>
      </c>
      <c r="C161" s="7" t="n">
        <v>0</v>
      </c>
      <c r="D161" s="7" t="n">
        <v>0</v>
      </c>
      <c r="E161" s="7" t="n">
        <v>0</v>
      </c>
      <c r="F161" s="7" t="n">
        <v>0</v>
      </c>
      <c r="G161" s="7" t="n">
        <v>0</v>
      </c>
      <c r="H161" s="7" t="n">
        <v>0</v>
      </c>
    </row>
    <row r="162">
      <c r="A162" s="6" t="inlineStr">
        <is>
          <t>D SIKOTARA EOLL</t>
        </is>
      </c>
      <c r="B162" s="6" t="inlineStr">
        <is>
          <t>A-EL PKNG SLEEVING</t>
        </is>
      </c>
      <c r="C162" s="7" t="n">
        <v>0</v>
      </c>
      <c r="D162" s="7" t="n">
        <v>0</v>
      </c>
      <c r="E162" s="7" t="n">
        <v>0</v>
      </c>
      <c r="F162" s="7" t="n">
        <v>0</v>
      </c>
      <c r="G162" s="7" t="n">
        <v>0</v>
      </c>
      <c r="H162" s="7" t="n">
        <v>0</v>
      </c>
    </row>
    <row r="163">
      <c r="A163" s="6" t="inlineStr">
        <is>
          <t>P THAKOR EOLL</t>
        </is>
      </c>
      <c r="B163" s="6" t="inlineStr">
        <is>
          <t>A-EL PKNG SLEEVING</t>
        </is>
      </c>
      <c r="C163" s="7" t="n">
        <v>0</v>
      </c>
      <c r="D163" s="7" t="n">
        <v>0</v>
      </c>
      <c r="E163" s="7" t="n">
        <v>0</v>
      </c>
      <c r="F163" s="7" t="n">
        <v>0</v>
      </c>
      <c r="G163" s="7" t="n">
        <v>0</v>
      </c>
      <c r="H163" s="7" t="n">
        <v>0</v>
      </c>
    </row>
    <row r="164">
      <c r="A164" s="6" t="inlineStr">
        <is>
          <t>B ARGI EOLL</t>
        </is>
      </c>
      <c r="B164" s="6" t="inlineStr">
        <is>
          <t>A-EL PROD BELT</t>
        </is>
      </c>
      <c r="C164" s="7" t="n">
        <v>0</v>
      </c>
      <c r="D164" s="7" t="n">
        <v>21</v>
      </c>
      <c r="E164" s="7" t="n">
        <v>0</v>
      </c>
      <c r="F164" s="7" t="n">
        <v>0</v>
      </c>
      <c r="G164" s="7" t="n">
        <v>0</v>
      </c>
      <c r="H164" s="7" t="n">
        <v>21</v>
      </c>
    </row>
    <row r="165">
      <c r="A165" s="6" t="inlineStr">
        <is>
          <t>K BABU EOLL</t>
        </is>
      </c>
      <c r="B165" s="6" t="inlineStr">
        <is>
          <t>A-EL PROD BELT</t>
        </is>
      </c>
      <c r="C165" s="7" t="n">
        <v>0</v>
      </c>
      <c r="D165" s="7" t="n">
        <v>24</v>
      </c>
      <c r="E165" s="7" t="n">
        <v>0</v>
      </c>
      <c r="F165" s="7" t="n">
        <v>0</v>
      </c>
      <c r="G165" s="7" t="n">
        <v>0</v>
      </c>
      <c r="H165" s="7" t="n">
        <v>24</v>
      </c>
    </row>
    <row r="166">
      <c r="A166" s="6" t="inlineStr">
        <is>
          <t>H BHIKHA EOLL</t>
        </is>
      </c>
      <c r="B166" s="6" t="inlineStr">
        <is>
          <t>A-EL PROD BELT</t>
        </is>
      </c>
      <c r="C166" s="7" t="n">
        <v>0</v>
      </c>
      <c r="D166" s="7" t="n">
        <v>24</v>
      </c>
      <c r="E166" s="7" t="n">
        <v>0</v>
      </c>
      <c r="F166" s="7" t="n">
        <v>0</v>
      </c>
      <c r="G166" s="7" t="n">
        <v>0</v>
      </c>
      <c r="H166" s="7" t="n">
        <v>24</v>
      </c>
    </row>
    <row r="167">
      <c r="A167" s="6" t="inlineStr">
        <is>
          <t>A CANGI EOLL</t>
        </is>
      </c>
      <c r="B167" s="6" t="inlineStr">
        <is>
          <t>A-EL PROD BELT</t>
        </is>
      </c>
      <c r="C167" s="7" t="n">
        <v>0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</row>
    <row r="168">
      <c r="A168" s="6" t="inlineStr">
        <is>
          <t>H CHANDRAKANT EOLL</t>
        </is>
      </c>
      <c r="B168" s="6" t="inlineStr">
        <is>
          <t>A-EL PROD BELT</t>
        </is>
      </c>
      <c r="C168" s="7" t="n">
        <v>0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</row>
    <row r="169">
      <c r="A169" s="6" t="inlineStr">
        <is>
          <t>H CHUNILAL EOLL</t>
        </is>
      </c>
      <c r="B169" s="6" t="inlineStr">
        <is>
          <t>A-EL PROD BELT</t>
        </is>
      </c>
      <c r="C169" s="7" t="n">
        <v>0</v>
      </c>
      <c r="D169" s="7" t="n">
        <v>20.75</v>
      </c>
      <c r="E169" s="7" t="n">
        <v>0</v>
      </c>
      <c r="F169" s="7" t="n">
        <v>0</v>
      </c>
      <c r="G169" s="7" t="n">
        <v>0</v>
      </c>
      <c r="H169" s="7" t="n">
        <v>20.75</v>
      </c>
    </row>
    <row r="170">
      <c r="A170" s="6" t="inlineStr">
        <is>
          <t>A DHIRU NAYEE EOLL</t>
        </is>
      </c>
      <c r="B170" s="6" t="inlineStr">
        <is>
          <t>A-EL PROD BELT</t>
        </is>
      </c>
      <c r="C170" s="7" t="n">
        <v>0</v>
      </c>
      <c r="D170" s="7" t="n">
        <v>21</v>
      </c>
      <c r="E170" s="7" t="n">
        <v>0</v>
      </c>
      <c r="F170" s="7" t="n">
        <v>0</v>
      </c>
      <c r="G170" s="7" t="n">
        <v>0</v>
      </c>
      <c r="H170" s="7" t="n">
        <v>21</v>
      </c>
    </row>
    <row r="171">
      <c r="A171" s="6" t="inlineStr">
        <is>
          <t>A DINESH EOLL</t>
        </is>
      </c>
      <c r="B171" s="6" t="inlineStr">
        <is>
          <t>A-EL PROD BELT</t>
        </is>
      </c>
      <c r="C171" s="7" t="n">
        <v>0</v>
      </c>
      <c r="D171" s="7" t="n">
        <v>21</v>
      </c>
      <c r="E171" s="7" t="n">
        <v>0</v>
      </c>
      <c r="F171" s="7" t="n">
        <v>0</v>
      </c>
      <c r="G171" s="7" t="n">
        <v>0</v>
      </c>
      <c r="H171" s="7" t="n">
        <v>21</v>
      </c>
    </row>
    <row r="172">
      <c r="A172" s="6" t="inlineStr">
        <is>
          <t>J JIVA EOLL</t>
        </is>
      </c>
      <c r="B172" s="6" t="inlineStr">
        <is>
          <t>A-EL PROD BELT</t>
        </is>
      </c>
      <c r="C172" s="7" t="n">
        <v>0</v>
      </c>
      <c r="D172" s="7" t="n">
        <v>21</v>
      </c>
      <c r="E172" s="7" t="n">
        <v>0</v>
      </c>
      <c r="F172" s="7" t="n">
        <v>0</v>
      </c>
      <c r="G172" s="7" t="n">
        <v>0</v>
      </c>
      <c r="H172" s="7" t="n">
        <v>21</v>
      </c>
    </row>
    <row r="173">
      <c r="A173" s="6" t="inlineStr">
        <is>
          <t>J KANJI EOLL</t>
        </is>
      </c>
      <c r="B173" s="6" t="inlineStr">
        <is>
          <t>A-EL PROD BELT</t>
        </is>
      </c>
      <c r="C173" s="7" t="n">
        <v>0</v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0</v>
      </c>
    </row>
    <row r="174">
      <c r="A174" s="6" t="inlineStr">
        <is>
          <t>P KHUNT EOLL</t>
        </is>
      </c>
      <c r="B174" s="6" t="inlineStr">
        <is>
          <t>A-EL PROD BELT</t>
        </is>
      </c>
      <c r="C174" s="7" t="n">
        <v>0</v>
      </c>
      <c r="D174" s="7" t="n">
        <v>0</v>
      </c>
      <c r="E174" s="7" t="n">
        <v>0</v>
      </c>
      <c r="F174" s="7" t="n">
        <v>0</v>
      </c>
      <c r="G174" s="7" t="n">
        <v>0</v>
      </c>
      <c r="H174" s="7" t="n">
        <v>0</v>
      </c>
    </row>
    <row r="175">
      <c r="A175" s="6" t="inlineStr">
        <is>
          <t>T LALJI EOLL</t>
        </is>
      </c>
      <c r="B175" s="6" t="inlineStr">
        <is>
          <t>A-EL PROD BELT</t>
        </is>
      </c>
      <c r="C175" s="7" t="n">
        <v>0</v>
      </c>
      <c r="D175" s="7" t="n">
        <v>24</v>
      </c>
      <c r="E175" s="7" t="n">
        <v>0</v>
      </c>
      <c r="F175" s="7" t="n">
        <v>0</v>
      </c>
      <c r="G175" s="7" t="n">
        <v>0</v>
      </c>
      <c r="H175" s="7" t="n">
        <v>24</v>
      </c>
    </row>
    <row r="176">
      <c r="A176" s="6" t="inlineStr">
        <is>
          <t>C MONIZ EOLL</t>
        </is>
      </c>
      <c r="B176" s="6" t="inlineStr">
        <is>
          <t>A-EL PROD BELT</t>
        </is>
      </c>
      <c r="C176" s="7" t="n">
        <v>0</v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</row>
    <row r="177">
      <c r="A177" s="6" t="inlineStr">
        <is>
          <t>B NANJI BAMANIYA EOLL</t>
        </is>
      </c>
      <c r="B177" s="6" t="inlineStr">
        <is>
          <t>A-EL PROD BELT</t>
        </is>
      </c>
      <c r="C177" s="7" t="n">
        <v>0</v>
      </c>
      <c r="D177" s="7" t="n">
        <v>25.75</v>
      </c>
      <c r="E177" s="7" t="n">
        <v>0</v>
      </c>
      <c r="F177" s="7" t="n">
        <v>0</v>
      </c>
      <c r="G177" s="7" t="n">
        <v>0</v>
      </c>
      <c r="H177" s="7" t="n">
        <v>25.75</v>
      </c>
    </row>
    <row r="178">
      <c r="A178" s="6" t="inlineStr">
        <is>
          <t>D NANJI CHAVDA EOLL</t>
        </is>
      </c>
      <c r="B178" s="6" t="inlineStr">
        <is>
          <t>A-EL PROD BELT</t>
        </is>
      </c>
      <c r="C178" s="7" t="n">
        <v>0</v>
      </c>
      <c r="D178" s="7" t="n">
        <v>25.75</v>
      </c>
      <c r="E178" s="7" t="n">
        <v>0</v>
      </c>
      <c r="F178" s="7" t="n">
        <v>0</v>
      </c>
      <c r="G178" s="7" t="n">
        <v>0</v>
      </c>
      <c r="H178" s="7" t="n">
        <v>25.75</v>
      </c>
    </row>
    <row r="179">
      <c r="A179" s="6" t="inlineStr">
        <is>
          <t>D PRAVIND EOLL</t>
        </is>
      </c>
      <c r="B179" s="6" t="inlineStr">
        <is>
          <t>A-EL PROD BELT</t>
        </is>
      </c>
      <c r="C179" s="7" t="n">
        <v>0</v>
      </c>
      <c r="D179" s="7" t="n">
        <v>22.25</v>
      </c>
      <c r="E179" s="7" t="n">
        <v>0</v>
      </c>
      <c r="F179" s="7" t="n">
        <v>0</v>
      </c>
      <c r="G179" s="7" t="n">
        <v>0</v>
      </c>
      <c r="H179" s="7" t="n">
        <v>22.25</v>
      </c>
    </row>
    <row r="180">
      <c r="A180" s="6" t="inlineStr">
        <is>
          <t>K RUPESHKUMAR GADHIYA EOLL</t>
        </is>
      </c>
      <c r="B180" s="6" t="inlineStr">
        <is>
          <t>A-EL PROD BELT</t>
        </is>
      </c>
      <c r="C180" s="7" t="n">
        <v>0</v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</row>
    <row r="181">
      <c r="A181" s="6" t="inlineStr">
        <is>
          <t>D SETHALA EOLL</t>
        </is>
      </c>
      <c r="B181" s="6" t="inlineStr">
        <is>
          <t>A-EL PROD BELT</t>
        </is>
      </c>
      <c r="C181" s="7" t="n">
        <v>0</v>
      </c>
      <c r="D181" s="7" t="n">
        <v>15</v>
      </c>
      <c r="E181" s="7" t="n">
        <v>0</v>
      </c>
      <c r="F181" s="7" t="n">
        <v>0</v>
      </c>
      <c r="G181" s="7" t="n">
        <v>0</v>
      </c>
      <c r="H181" s="7" t="n">
        <v>15</v>
      </c>
    </row>
    <row r="182">
      <c r="A182" s="6" t="inlineStr">
        <is>
          <t>B UCARO EOLL</t>
        </is>
      </c>
      <c r="B182" s="6" t="inlineStr">
        <is>
          <t>A-EL PROD BELT</t>
        </is>
      </c>
      <c r="C182" s="7" t="n">
        <v>0</v>
      </c>
      <c r="D182" s="7" t="n">
        <v>0</v>
      </c>
      <c r="E182" s="7" t="n">
        <v>0</v>
      </c>
      <c r="F182" s="7" t="n">
        <v>0</v>
      </c>
      <c r="G182" s="7" t="n">
        <v>0</v>
      </c>
      <c r="H182" s="7" t="n">
        <v>0</v>
      </c>
    </row>
    <row r="183">
      <c r="A183" s="6" t="inlineStr">
        <is>
          <t>K UKORDA BAMANIA EOLL</t>
        </is>
      </c>
      <c r="B183" s="6" t="inlineStr">
        <is>
          <t>A-EL PROD BELT</t>
        </is>
      </c>
      <c r="C183" s="7" t="n">
        <v>0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</row>
    <row r="184">
      <c r="A184" s="6" t="inlineStr">
        <is>
          <t>D VISHAL EOLL</t>
        </is>
      </c>
      <c r="B184" s="6" t="inlineStr">
        <is>
          <t>A-EL PROD BELT</t>
        </is>
      </c>
      <c r="C184" s="7" t="n">
        <v>0</v>
      </c>
      <c r="D184" s="7" t="n">
        <v>21</v>
      </c>
      <c r="E184" s="7" t="n">
        <v>0</v>
      </c>
      <c r="F184" s="7" t="n">
        <v>0</v>
      </c>
      <c r="G184" s="7" t="n">
        <v>0</v>
      </c>
      <c r="H184" s="7" t="n">
        <v>21</v>
      </c>
    </row>
    <row r="185">
      <c r="A185" s="6" t="inlineStr">
        <is>
          <t>C BABU EOLL</t>
        </is>
      </c>
      <c r="B185" s="6" t="inlineStr">
        <is>
          <t>A-EL PROD FORMING</t>
        </is>
      </c>
      <c r="C185" s="7" t="n">
        <v>0</v>
      </c>
      <c r="D185" s="7" t="n">
        <v>22.25</v>
      </c>
      <c r="E185" s="7" t="n">
        <v>0</v>
      </c>
      <c r="F185" s="7" t="n">
        <v>0</v>
      </c>
      <c r="G185" s="7" t="n">
        <v>0</v>
      </c>
      <c r="H185" s="7" t="n">
        <v>22.25</v>
      </c>
    </row>
    <row r="186">
      <c r="A186" s="6" t="inlineStr">
        <is>
          <t>P JASVANT SOLANKI EOLL</t>
        </is>
      </c>
      <c r="B186" s="6" t="inlineStr">
        <is>
          <t>A-EL PROD FORMING</t>
        </is>
      </c>
      <c r="C186" s="7" t="n">
        <v>0</v>
      </c>
      <c r="D186" s="7" t="n">
        <v>20.75</v>
      </c>
      <c r="E186" s="7" t="n">
        <v>0</v>
      </c>
      <c r="F186" s="7" t="n">
        <v>0</v>
      </c>
      <c r="G186" s="7" t="n">
        <v>0</v>
      </c>
      <c r="H186" s="7" t="n">
        <v>20.75</v>
      </c>
    </row>
    <row r="187">
      <c r="A187" s="6" t="inlineStr">
        <is>
          <t>R KANUBHAI PATEL EOLL</t>
        </is>
      </c>
      <c r="B187" s="6" t="inlineStr">
        <is>
          <t>A-EL PROD FORMING</t>
        </is>
      </c>
      <c r="C187" s="7" t="n">
        <v>0</v>
      </c>
      <c r="D187" s="7" t="n">
        <v>0</v>
      </c>
      <c r="E187" s="7" t="n">
        <v>0</v>
      </c>
      <c r="F187" s="7" t="n">
        <v>0</v>
      </c>
      <c r="G187" s="7" t="n">
        <v>0</v>
      </c>
      <c r="H187" s="7" t="n">
        <v>0</v>
      </c>
    </row>
    <row r="188">
      <c r="A188" s="6" t="inlineStr">
        <is>
          <t>S DEVA EOLL</t>
        </is>
      </c>
      <c r="B188" s="6" t="inlineStr">
        <is>
          <t>A-EL PROD FRYING</t>
        </is>
      </c>
      <c r="C188" s="7" t="n">
        <v>0</v>
      </c>
      <c r="D188" s="7" t="n">
        <v>22</v>
      </c>
      <c r="E188" s="7" t="n">
        <v>0</v>
      </c>
      <c r="F188" s="7" t="n">
        <v>0</v>
      </c>
      <c r="G188" s="7" t="n">
        <v>0</v>
      </c>
      <c r="H188" s="7" t="n">
        <v>22</v>
      </c>
    </row>
    <row r="189">
      <c r="A189" s="6" t="inlineStr">
        <is>
          <t>R KALPESHKUMAR EOLL</t>
        </is>
      </c>
      <c r="B189" s="6" t="inlineStr">
        <is>
          <t>A-EL PROD FRYING</t>
        </is>
      </c>
      <c r="C189" s="7" t="n">
        <v>0</v>
      </c>
      <c r="D189" s="7" t="n">
        <v>23.25</v>
      </c>
      <c r="E189" s="7" t="n">
        <v>0</v>
      </c>
      <c r="F189" s="7" t="n">
        <v>0</v>
      </c>
      <c r="G189" s="7" t="n">
        <v>0</v>
      </c>
      <c r="H189" s="7" t="n">
        <v>23.25</v>
      </c>
    </row>
    <row r="190">
      <c r="A190" s="6" t="inlineStr">
        <is>
          <t>P PRADIPKUMAR EOLL</t>
        </is>
      </c>
      <c r="B190" s="6" t="inlineStr">
        <is>
          <t>A-EL PROD FRYING</t>
        </is>
      </c>
      <c r="C190" s="7" t="n">
        <v>0</v>
      </c>
      <c r="D190" s="7" t="n">
        <v>34</v>
      </c>
      <c r="E190" s="7" t="n">
        <v>0</v>
      </c>
      <c r="F190" s="7" t="n">
        <v>0</v>
      </c>
      <c r="G190" s="7" t="n">
        <v>0</v>
      </c>
      <c r="H190" s="7" t="n">
        <v>34</v>
      </c>
    </row>
    <row r="191">
      <c r="A191" s="6" t="inlineStr">
        <is>
          <t>P RAMESH EOLL</t>
        </is>
      </c>
      <c r="B191" s="6" t="inlineStr">
        <is>
          <t>A-EL PROD FRYING</t>
        </is>
      </c>
      <c r="C191" s="7" t="n">
        <v>0</v>
      </c>
      <c r="D191" s="7" t="n">
        <v>38.75</v>
      </c>
      <c r="E191" s="7" t="n">
        <v>0</v>
      </c>
      <c r="F191" s="7" t="n">
        <v>0</v>
      </c>
      <c r="G191" s="7" t="n">
        <v>0</v>
      </c>
      <c r="H191" s="7" t="n">
        <v>38.75</v>
      </c>
    </row>
    <row r="192">
      <c r="A192" s="6" t="inlineStr">
        <is>
          <t>G UKARDA BAMANIA EOLL</t>
        </is>
      </c>
      <c r="B192" s="6" t="inlineStr">
        <is>
          <t>A-EL PROD FRYING</t>
        </is>
      </c>
      <c r="C192" s="7" t="n">
        <v>0</v>
      </c>
      <c r="D192" s="7" t="n">
        <v>32.5</v>
      </c>
      <c r="E192" s="7" t="n">
        <v>0</v>
      </c>
      <c r="F192" s="7" t="n">
        <v>0</v>
      </c>
      <c r="G192" s="7" t="n">
        <v>0</v>
      </c>
      <c r="H192" s="7" t="n">
        <v>32.5</v>
      </c>
    </row>
    <row r="193">
      <c r="A193" s="6" t="inlineStr">
        <is>
          <t>C ALMEIDA EOLL</t>
        </is>
      </c>
      <c r="B193" s="6" t="inlineStr">
        <is>
          <t>A-EL PROD PREPARATION</t>
        </is>
      </c>
      <c r="C193" s="7" t="n">
        <v>0</v>
      </c>
      <c r="D193" s="7" t="n">
        <v>32.75</v>
      </c>
      <c r="E193" s="7" t="n">
        <v>0</v>
      </c>
      <c r="F193" s="7" t="n">
        <v>0</v>
      </c>
      <c r="G193" s="7" t="n">
        <v>0</v>
      </c>
      <c r="H193" s="7" t="n">
        <v>32.75</v>
      </c>
    </row>
    <row r="194">
      <c r="A194" s="6" t="inlineStr">
        <is>
          <t>K BABU EOLL</t>
        </is>
      </c>
      <c r="B194" s="6" t="inlineStr">
        <is>
          <t>A-EL PROD PREPARATION</t>
        </is>
      </c>
      <c r="C194" s="7" t="n">
        <v>0</v>
      </c>
      <c r="D194" s="7" t="n">
        <v>29.25</v>
      </c>
      <c r="E194" s="7" t="n">
        <v>0</v>
      </c>
      <c r="F194" s="7" t="n">
        <v>0</v>
      </c>
      <c r="G194" s="7" t="n">
        <v>0</v>
      </c>
      <c r="H194" s="7" t="n">
        <v>29.25</v>
      </c>
    </row>
    <row r="195">
      <c r="A195" s="6" t="inlineStr">
        <is>
          <t>V CARSANE EOLL</t>
        </is>
      </c>
      <c r="B195" s="6" t="inlineStr">
        <is>
          <t>A-EL PROD PREPARATION</t>
        </is>
      </c>
      <c r="C195" s="7" t="n">
        <v>0</v>
      </c>
      <c r="D195" s="7" t="n">
        <v>20.75</v>
      </c>
      <c r="E195" s="7" t="n">
        <v>0</v>
      </c>
      <c r="F195" s="7" t="n">
        <v>0</v>
      </c>
      <c r="G195" s="7" t="n">
        <v>0</v>
      </c>
      <c r="H195" s="7" t="n">
        <v>20.75</v>
      </c>
    </row>
    <row r="196">
      <c r="A196" s="6" t="inlineStr">
        <is>
          <t>F DA CUNHA EOLL</t>
        </is>
      </c>
      <c r="B196" s="6" t="inlineStr">
        <is>
          <t>A-EL PROD PREPARATION</t>
        </is>
      </c>
      <c r="C196" s="7" t="n">
        <v>0</v>
      </c>
      <c r="D196" s="7" t="n">
        <v>36.75</v>
      </c>
      <c r="E196" s="7" t="n">
        <v>0</v>
      </c>
      <c r="F196" s="7" t="n">
        <v>0</v>
      </c>
      <c r="G196" s="7" t="n">
        <v>0</v>
      </c>
      <c r="H196" s="7" t="n">
        <v>36.75</v>
      </c>
    </row>
    <row r="197">
      <c r="A197" s="6" t="inlineStr">
        <is>
          <t>S DATTA EOLL</t>
        </is>
      </c>
      <c r="B197" s="6" t="inlineStr">
        <is>
          <t>A-EL PROD PREPARATION</t>
        </is>
      </c>
      <c r="C197" s="7" t="n">
        <v>0</v>
      </c>
      <c r="D197" s="7" t="n">
        <v>0</v>
      </c>
      <c r="E197" s="7" t="n">
        <v>0</v>
      </c>
      <c r="F197" s="7" t="n">
        <v>0</v>
      </c>
      <c r="G197" s="7" t="n">
        <v>0</v>
      </c>
      <c r="H197" s="7" t="n">
        <v>0</v>
      </c>
    </row>
    <row r="198">
      <c r="A198" s="6" t="inlineStr">
        <is>
          <t>A GIRI EOLL</t>
        </is>
      </c>
      <c r="B198" s="6" t="inlineStr">
        <is>
          <t>A-EL PROD PREPARATION</t>
        </is>
      </c>
      <c r="C198" s="7" t="n">
        <v>0</v>
      </c>
      <c r="D198" s="7" t="n">
        <v>33.75</v>
      </c>
      <c r="E198" s="7" t="n">
        <v>0</v>
      </c>
      <c r="F198" s="7" t="n">
        <v>0</v>
      </c>
      <c r="G198" s="7" t="n">
        <v>0</v>
      </c>
      <c r="H198" s="7" t="n">
        <v>33.75</v>
      </c>
    </row>
    <row r="199">
      <c r="A199" s="6" t="inlineStr">
        <is>
          <t>D LOBO EOLL</t>
        </is>
      </c>
      <c r="B199" s="6" t="inlineStr">
        <is>
          <t>A-EL PROD PREPARATION</t>
        </is>
      </c>
      <c r="C199" s="7" t="n">
        <v>0</v>
      </c>
      <c r="D199" s="7" t="n">
        <v>28</v>
      </c>
      <c r="E199" s="7" t="n">
        <v>0</v>
      </c>
      <c r="F199" s="7" t="n">
        <v>0</v>
      </c>
      <c r="G199" s="7" t="n">
        <v>0</v>
      </c>
      <c r="H199" s="7" t="n">
        <v>28</v>
      </c>
    </row>
    <row r="200">
      <c r="A200" s="6" t="inlineStr">
        <is>
          <t>D PREMJI EOLL</t>
        </is>
      </c>
      <c r="B200" s="6" t="inlineStr">
        <is>
          <t>A-EL PROD PREPARATION</t>
        </is>
      </c>
      <c r="C200" s="7" t="n">
        <v>0</v>
      </c>
      <c r="D200" s="7" t="n">
        <v>33.75</v>
      </c>
      <c r="E200" s="7" t="n">
        <v>0</v>
      </c>
      <c r="F200" s="7" t="n">
        <v>0</v>
      </c>
      <c r="G200" s="7" t="n">
        <v>0</v>
      </c>
      <c r="H200" s="7" t="n">
        <v>33.75</v>
      </c>
    </row>
    <row r="201">
      <c r="A201" s="6" t="inlineStr">
        <is>
          <t>C JOSELINE BORGES EOLL</t>
        </is>
      </c>
      <c r="B201" s="6" t="inlineStr">
        <is>
          <t>A-EL TECHNICAL</t>
        </is>
      </c>
      <c r="C201" s="7" t="n">
        <v>0</v>
      </c>
      <c r="D201" s="7" t="n">
        <v>18.25</v>
      </c>
      <c r="E201" s="7" t="n">
        <v>0</v>
      </c>
      <c r="F201" s="7" t="n">
        <v>0</v>
      </c>
      <c r="G201" s="7" t="n">
        <v>0</v>
      </c>
      <c r="H201" s="7" t="n">
        <v>18.25</v>
      </c>
    </row>
    <row r="202">
      <c r="A202" s="6" t="inlineStr">
        <is>
          <t>K RAMESHBHAI VEKARIA EOLL</t>
        </is>
      </c>
      <c r="B202" s="6" t="inlineStr">
        <is>
          <t>A-EL TECHNICAL</t>
        </is>
      </c>
      <c r="C202" s="7" t="n">
        <v>0</v>
      </c>
      <c r="D202" s="7" t="n">
        <v>39.25</v>
      </c>
      <c r="E202" s="7" t="n">
        <v>0</v>
      </c>
      <c r="F202" s="7" t="n">
        <v>0</v>
      </c>
      <c r="G202" s="7" t="n">
        <v>0</v>
      </c>
      <c r="H202" s="7" t="n">
        <v>39.25</v>
      </c>
    </row>
    <row r="203">
      <c r="A203" s="6" t="inlineStr">
        <is>
          <t>A SHASHIKANTBHAI DABGAR EOLL</t>
        </is>
      </c>
      <c r="B203" s="6" t="inlineStr">
        <is>
          <t>A-EL WRHS</t>
        </is>
      </c>
      <c r="C203" s="7" t="n">
        <v>0</v>
      </c>
      <c r="D203" s="7" t="n">
        <v>15.5</v>
      </c>
      <c r="E203" s="7" t="n">
        <v>0</v>
      </c>
      <c r="F203" s="7" t="n">
        <v>0</v>
      </c>
      <c r="G203" s="7" t="n">
        <v>0</v>
      </c>
      <c r="H203" s="7" t="n">
        <v>15.5</v>
      </c>
    </row>
    <row r="204">
      <c r="A204" s="6" t="inlineStr">
        <is>
          <t>P VAISHYA EOLL</t>
        </is>
      </c>
      <c r="B204" s="6" t="inlineStr">
        <is>
          <t>A-EL WRHS</t>
        </is>
      </c>
      <c r="C204" s="7" t="n">
        <v>0</v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</v>
      </c>
    </row>
    <row r="205">
      <c r="A205" s="6" t="inlineStr">
        <is>
          <t>T CARVALHO PRIDE MANAGEMENT</t>
        </is>
      </c>
      <c r="B205" s="6" t="inlineStr">
        <is>
          <t>A-PM PKNG HIGH_RISK</t>
        </is>
      </c>
      <c r="C205" s="7" t="n">
        <v>0</v>
      </c>
      <c r="D205" s="7" t="n">
        <v>35.25</v>
      </c>
      <c r="E205" s="7" t="n">
        <v>0</v>
      </c>
      <c r="F205" s="7" t="n">
        <v>0</v>
      </c>
      <c r="G205" s="7" t="n">
        <v>0</v>
      </c>
      <c r="H205" s="7" t="n">
        <v>35.25</v>
      </c>
    </row>
    <row r="206">
      <c r="A206" s="6" t="inlineStr">
        <is>
          <t>L BUZOIANA RESPONSE</t>
        </is>
      </c>
      <c r="B206" s="6" t="inlineStr">
        <is>
          <t>A-RS PKNG SLEEVING</t>
        </is>
      </c>
      <c r="C206" s="7" t="n">
        <v>0</v>
      </c>
      <c r="D206" s="7" t="n">
        <v>2</v>
      </c>
      <c r="E206" s="7" t="n">
        <v>0</v>
      </c>
      <c r="F206" s="7" t="n">
        <v>0</v>
      </c>
      <c r="G206" s="7" t="n">
        <v>0</v>
      </c>
      <c r="H206" s="7" t="n">
        <v>2</v>
      </c>
    </row>
    <row r="207">
      <c r="A207" s="6" t="inlineStr">
        <is>
          <t>V KALSARIYA RESPONSE</t>
        </is>
      </c>
      <c r="B207" s="6" t="inlineStr">
        <is>
          <t>A-RS PKNG SLEEVING</t>
        </is>
      </c>
      <c r="C207" s="7" t="n">
        <v>0</v>
      </c>
      <c r="D207" s="7" t="n">
        <v>22.25</v>
      </c>
      <c r="E207" s="7" t="n">
        <v>0</v>
      </c>
      <c r="F207" s="7" t="n">
        <v>0</v>
      </c>
      <c r="G207" s="7" t="n">
        <v>0</v>
      </c>
      <c r="H207" s="7" t="n">
        <v>22.25</v>
      </c>
    </row>
    <row r="208">
      <c r="A208" s="6" t="inlineStr">
        <is>
          <t>A VALACU RESPONSE</t>
        </is>
      </c>
      <c r="B208" s="6" t="inlineStr">
        <is>
          <t>A-RS PKNG SLEEVING</t>
        </is>
      </c>
      <c r="C208" s="7" t="n">
        <v>0</v>
      </c>
      <c r="D208" s="7" t="n">
        <v>2.5</v>
      </c>
      <c r="E208" s="7" t="n">
        <v>0</v>
      </c>
      <c r="F208" s="7" t="n">
        <v>0</v>
      </c>
      <c r="G208" s="7" t="n">
        <v>0</v>
      </c>
      <c r="H208" s="7" t="n">
        <v>2.5</v>
      </c>
    </row>
    <row r="209">
      <c r="A209" s="6" t="inlineStr">
        <is>
          <t>S SINGH RESPONSE</t>
        </is>
      </c>
      <c r="B209" s="6" t="inlineStr">
        <is>
          <t>A-RS PROD BELT</t>
        </is>
      </c>
      <c r="C209" s="7" t="n">
        <v>0</v>
      </c>
      <c r="D209" s="7" t="n">
        <v>20.75</v>
      </c>
      <c r="E209" s="7" t="n">
        <v>0</v>
      </c>
      <c r="F209" s="7" t="n">
        <v>0</v>
      </c>
      <c r="G209" s="7" t="n">
        <v>0</v>
      </c>
      <c r="H209" s="7" t="n">
        <v>20.75</v>
      </c>
    </row>
    <row r="210">
      <c r="A210" s="6" t="inlineStr">
        <is>
          <t>H SONAWANE RESPONSE</t>
        </is>
      </c>
      <c r="B210" s="6" t="inlineStr">
        <is>
          <t>A-RS PROD BELT</t>
        </is>
      </c>
      <c r="C210" s="7" t="n">
        <v>0</v>
      </c>
      <c r="D210" s="7" t="n">
        <v>20.75</v>
      </c>
      <c r="E210" s="7" t="n">
        <v>0</v>
      </c>
      <c r="F210" s="7" t="n">
        <v>0</v>
      </c>
      <c r="G210" s="7" t="n">
        <v>0</v>
      </c>
      <c r="H210" s="7" t="n">
        <v>20.75</v>
      </c>
    </row>
    <row r="211">
      <c r="A211" s="6" t="inlineStr">
        <is>
          <t>A VAHORA RESPONSE</t>
        </is>
      </c>
      <c r="B211" s="6" t="inlineStr">
        <is>
          <t>A-RS PROD BELT</t>
        </is>
      </c>
      <c r="C211" s="7" t="n">
        <v>0</v>
      </c>
      <c r="D211" s="7" t="n">
        <v>0</v>
      </c>
      <c r="E211" s="7" t="n">
        <v>0</v>
      </c>
      <c r="F211" s="7" t="n">
        <v>0</v>
      </c>
      <c r="G211" s="7" t="n">
        <v>0</v>
      </c>
      <c r="H211" s="7" t="n">
        <v>0</v>
      </c>
    </row>
    <row r="212">
      <c r="A212" s="6" t="inlineStr">
        <is>
          <t>A DABGAR RESPONSE</t>
        </is>
      </c>
      <c r="B212" s="6" t="inlineStr">
        <is>
          <t>A-RS PROD FRYING</t>
        </is>
      </c>
      <c r="C212" s="7" t="n">
        <v>0</v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</row>
    <row r="214">
      <c r="A214" s="3" t="inlineStr">
        <is>
          <t>Adjustments (0)</t>
        </is>
      </c>
    </row>
    <row r="215">
      <c r="A215" s="4" t="inlineStr">
        <is>
          <t>Manual hour corrections recorded in the legacy weekly file.</t>
        </is>
      </c>
    </row>
    <row r="216">
      <c r="B216" s="5" t="inlineStr">
        <is>
          <t>Name</t>
        </is>
      </c>
      <c r="C216" s="5" t="inlineStr">
        <is>
          <t>Type</t>
        </is>
      </c>
      <c r="D216" s="5" t="inlineStr">
        <is>
          <t>Value</t>
        </is>
      </c>
    </row>
    <row r="218">
      <c r="A218" s="3" t="inlineStr">
        <is>
          <t>Category totals</t>
        </is>
      </c>
    </row>
    <row r="219">
      <c r="A219" s="4" t="inlineStr">
        <is>
          <t>Sum of hours by work category for this week (SUMIFS from employee rows above).</t>
        </is>
      </c>
    </row>
    <row r="220">
      <c r="A220" s="5" t="n"/>
      <c r="B220" s="5" t="inlineStr">
        <is>
          <t>Category</t>
        </is>
      </c>
      <c r="C220" s="5" t="n"/>
      <c r="D220" s="5" t="inlineStr">
        <is>
          <t>Basic hours</t>
        </is>
      </c>
      <c r="E220" s="5" t="inlineStr">
        <is>
          <t>Mon–Fri overtime</t>
        </is>
      </c>
      <c r="F220" s="5" t="inlineStr">
        <is>
          <t>Sat/Sun overtime</t>
        </is>
      </c>
      <c r="G220" s="5" t="inlineStr">
        <is>
          <t>Annual holiday</t>
        </is>
      </c>
      <c r="H220" s="5" t="inlineStr">
        <is>
          <t>Total paid hours</t>
        </is>
      </c>
    </row>
    <row r="221">
      <c r="A221" s="6" t="n"/>
      <c r="B221" s="6" t="inlineStr">
        <is>
          <t>CLNR</t>
        </is>
      </c>
      <c r="C221" s="6" t="n"/>
      <c r="D221" s="7">
        <f>SUMIFS($D$7:$D$212,$B$7:$B$212,$B221)</f>
        <v/>
      </c>
      <c r="E221" s="7">
        <f>SUMIFS($E$7:$E$212,$B$7:$B$212,$B221)</f>
        <v/>
      </c>
      <c r="F221" s="7">
        <f>SUMIFS($F$7:$F$212,$B$7:$B$212,$B221)</f>
        <v/>
      </c>
      <c r="G221" s="7">
        <f>SUMIFS($G$7:$G$212,$B$7:$B$212,$B221)</f>
        <v/>
      </c>
      <c r="H221" s="7">
        <f>SUMIFS($H$7:$H$212,$B$7:$B$212,$B221)</f>
        <v/>
      </c>
    </row>
    <row r="222">
      <c r="A222" s="6" t="n"/>
      <c r="B222" s="6" t="inlineStr">
        <is>
          <t>DPCH</t>
        </is>
      </c>
      <c r="C222" s="6" t="n"/>
      <c r="D222" s="7">
        <f>SUMIFS($D$7:$D$212,$B$7:$B$212,$B222)</f>
        <v/>
      </c>
      <c r="E222" s="7">
        <f>SUMIFS($E$7:$E$212,$B$7:$B$212,$B222)</f>
        <v/>
      </c>
      <c r="F222" s="7">
        <f>SUMIFS($F$7:$F$212,$B$7:$B$212,$B222)</f>
        <v/>
      </c>
      <c r="G222" s="7">
        <f>SUMIFS($G$7:$G$212,$B$7:$B$212,$B222)</f>
        <v/>
      </c>
      <c r="H222" s="7">
        <f>SUMIFS($H$7:$H$212,$B$7:$B$212,$B222)</f>
        <v/>
      </c>
    </row>
    <row r="223">
      <c r="A223" s="6" t="n"/>
      <c r="B223" s="6" t="inlineStr">
        <is>
          <t>OFCE</t>
        </is>
      </c>
      <c r="C223" s="6" t="n"/>
      <c r="D223" s="7">
        <f>SUMIFS($D$7:$D$212,$B$7:$B$212,$B223)</f>
        <v/>
      </c>
      <c r="E223" s="7">
        <f>SUMIFS($E$7:$E$212,$B$7:$B$212,$B223)</f>
        <v/>
      </c>
      <c r="F223" s="7">
        <f>SUMIFS($F$7:$F$212,$B$7:$B$212,$B223)</f>
        <v/>
      </c>
      <c r="G223" s="7">
        <f>SUMIFS($G$7:$G$212,$B$7:$B$212,$B223)</f>
        <v/>
      </c>
      <c r="H223" s="7">
        <f>SUMIFS($H$7:$H$212,$B$7:$B$212,$B223)</f>
        <v/>
      </c>
    </row>
    <row r="224">
      <c r="A224" s="6" t="n"/>
      <c r="B224" s="6" t="inlineStr">
        <is>
          <t>PKNG HIGH_RISK</t>
        </is>
      </c>
      <c r="C224" s="6" t="n"/>
      <c r="D224" s="7">
        <f>SUMIFS($D$7:$D$212,$B$7:$B$212,$B224)</f>
        <v/>
      </c>
      <c r="E224" s="7">
        <f>SUMIFS($E$7:$E$212,$B$7:$B$212,$B224)</f>
        <v/>
      </c>
      <c r="F224" s="7">
        <f>SUMIFS($F$7:$F$212,$B$7:$B$212,$B224)</f>
        <v/>
      </c>
      <c r="G224" s="7">
        <f>SUMIFS($G$7:$G$212,$B$7:$B$212,$B224)</f>
        <v/>
      </c>
      <c r="H224" s="7">
        <f>SUMIFS($H$7:$H$212,$B$7:$B$212,$B224)</f>
        <v/>
      </c>
    </row>
    <row r="225">
      <c r="A225" s="6" t="n"/>
      <c r="B225" s="6" t="inlineStr">
        <is>
          <t>PKNG SLEEVING</t>
        </is>
      </c>
      <c r="C225" s="6" t="n"/>
      <c r="D225" s="7">
        <f>SUMIFS($D$7:$D$212,$B$7:$B$212,$B225)</f>
        <v/>
      </c>
      <c r="E225" s="7">
        <f>SUMIFS($E$7:$E$212,$B$7:$B$212,$B225)</f>
        <v/>
      </c>
      <c r="F225" s="7">
        <f>SUMIFS($F$7:$F$212,$B$7:$B$212,$B225)</f>
        <v/>
      </c>
      <c r="G225" s="7">
        <f>SUMIFS($G$7:$G$212,$B$7:$B$212,$B225)</f>
        <v/>
      </c>
      <c r="H225" s="7">
        <f>SUMIFS($H$7:$H$212,$B$7:$B$212,$B225)</f>
        <v/>
      </c>
    </row>
    <row r="226">
      <c r="A226" s="6" t="n"/>
      <c r="B226" s="6" t="inlineStr">
        <is>
          <t>PROD BELT</t>
        </is>
      </c>
      <c r="C226" s="6" t="n"/>
      <c r="D226" s="7">
        <f>SUMIFS($D$7:$D$212,$B$7:$B$212,$B226)</f>
        <v/>
      </c>
      <c r="E226" s="7">
        <f>SUMIFS($E$7:$E$212,$B$7:$B$212,$B226)</f>
        <v/>
      </c>
      <c r="F226" s="7">
        <f>SUMIFS($F$7:$F$212,$B$7:$B$212,$B226)</f>
        <v/>
      </c>
      <c r="G226" s="7">
        <f>SUMIFS($G$7:$G$212,$B$7:$B$212,$B226)</f>
        <v/>
      </c>
      <c r="H226" s="7">
        <f>SUMIFS($H$7:$H$212,$B$7:$B$212,$B226)</f>
        <v/>
      </c>
    </row>
    <row r="227">
      <c r="A227" s="6" t="n"/>
      <c r="B227" s="6" t="inlineStr">
        <is>
          <t>PROD FORMING</t>
        </is>
      </c>
      <c r="C227" s="6" t="n"/>
      <c r="D227" s="7">
        <f>SUMIFS($D$7:$D$212,$B$7:$B$212,$B227)</f>
        <v/>
      </c>
      <c r="E227" s="7">
        <f>SUMIFS($E$7:$E$212,$B$7:$B$212,$B227)</f>
        <v/>
      </c>
      <c r="F227" s="7">
        <f>SUMIFS($F$7:$F$212,$B$7:$B$212,$B227)</f>
        <v/>
      </c>
      <c r="G227" s="7">
        <f>SUMIFS($G$7:$G$212,$B$7:$B$212,$B227)</f>
        <v/>
      </c>
      <c r="H227" s="7">
        <f>SUMIFS($H$7:$H$212,$B$7:$B$212,$B227)</f>
        <v/>
      </c>
    </row>
    <row r="228">
      <c r="A228" s="6" t="n"/>
      <c r="B228" s="6" t="inlineStr">
        <is>
          <t>PROD FRYING</t>
        </is>
      </c>
      <c r="C228" s="6" t="n"/>
      <c r="D228" s="7">
        <f>SUMIFS($D$7:$D$212,$B$7:$B$212,$B228)</f>
        <v/>
      </c>
      <c r="E228" s="7">
        <f>SUMIFS($E$7:$E$212,$B$7:$B$212,$B228)</f>
        <v/>
      </c>
      <c r="F228" s="7">
        <f>SUMIFS($F$7:$F$212,$B$7:$B$212,$B228)</f>
        <v/>
      </c>
      <c r="G228" s="7">
        <f>SUMIFS($G$7:$G$212,$B$7:$B$212,$B228)</f>
        <v/>
      </c>
      <c r="H228" s="7">
        <f>SUMIFS($H$7:$H$212,$B$7:$B$212,$B228)</f>
        <v/>
      </c>
    </row>
    <row r="229">
      <c r="A229" s="6" t="n"/>
      <c r="B229" s="6" t="inlineStr">
        <is>
          <t>PROD PREPARATION</t>
        </is>
      </c>
      <c r="C229" s="6" t="n"/>
      <c r="D229" s="7">
        <f>SUMIFS($D$7:$D$212,$B$7:$B$212,$B229)</f>
        <v/>
      </c>
      <c r="E229" s="7">
        <f>SUMIFS($E$7:$E$212,$B$7:$B$212,$B229)</f>
        <v/>
      </c>
      <c r="F229" s="7">
        <f>SUMIFS($F$7:$F$212,$B$7:$B$212,$B229)</f>
        <v/>
      </c>
      <c r="G229" s="7">
        <f>SUMIFS($G$7:$G$212,$B$7:$B$212,$B229)</f>
        <v/>
      </c>
      <c r="H229" s="7">
        <f>SUMIFS($H$7:$H$212,$B$7:$B$212,$B229)</f>
        <v/>
      </c>
    </row>
    <row r="230">
      <c r="A230" s="6" t="n"/>
      <c r="B230" s="6" t="inlineStr">
        <is>
          <t>PROD TABLE</t>
        </is>
      </c>
      <c r="C230" s="6" t="n"/>
      <c r="D230" s="7">
        <f>SUMIFS($D$7:$D$212,$B$7:$B$212,$B230)</f>
        <v/>
      </c>
      <c r="E230" s="7">
        <f>SUMIFS($E$7:$E$212,$B$7:$B$212,$B230)</f>
        <v/>
      </c>
      <c r="F230" s="7">
        <f>SUMIFS($F$7:$F$212,$B$7:$B$212,$B230)</f>
        <v/>
      </c>
      <c r="G230" s="7">
        <f>SUMIFS($G$7:$G$212,$B$7:$B$212,$B230)</f>
        <v/>
      </c>
      <c r="H230" s="7">
        <f>SUMIFS($H$7:$H$212,$B$7:$B$212,$B230)</f>
        <v/>
      </c>
    </row>
    <row r="231">
      <c r="A231" s="6" t="n"/>
      <c r="B231" s="6" t="inlineStr">
        <is>
          <t>TECH TECHNICAL</t>
        </is>
      </c>
      <c r="C231" s="6" t="n"/>
      <c r="D231" s="7">
        <f>SUMIFS($D$7:$D$212,$B$7:$B$212,$B231)</f>
        <v/>
      </c>
      <c r="E231" s="7">
        <f>SUMIFS($E$7:$E$212,$B$7:$B$212,$B231)</f>
        <v/>
      </c>
      <c r="F231" s="7">
        <f>SUMIFS($F$7:$F$212,$B$7:$B$212,$B231)</f>
        <v/>
      </c>
      <c r="G231" s="7">
        <f>SUMIFS($G$7:$G$212,$B$7:$B$212,$B231)</f>
        <v/>
      </c>
      <c r="H231" s="7">
        <f>SUMIFS($H$7:$H$212,$B$7:$B$212,$B231)</f>
        <v/>
      </c>
    </row>
    <row r="232">
      <c r="A232" s="6" t="n"/>
      <c r="B232" s="6" t="inlineStr">
        <is>
          <t>WRHS</t>
        </is>
      </c>
      <c r="C232" s="6" t="n"/>
      <c r="D232" s="7">
        <f>SUMIFS($D$7:$D$212,$B$7:$B$212,$B232)</f>
        <v/>
      </c>
      <c r="E232" s="7">
        <f>SUMIFS($E$7:$E$212,$B$7:$B$212,$B232)</f>
        <v/>
      </c>
      <c r="F232" s="7">
        <f>SUMIFS($F$7:$F$212,$B$7:$B$212,$B232)</f>
        <v/>
      </c>
      <c r="G232" s="7">
        <f>SUMIFS($G$7:$G$212,$B$7:$B$212,$B232)</f>
        <v/>
      </c>
      <c r="H232" s="7">
        <f>SUMIFS($H$7:$H$212,$B$7:$B$212,$B232)</f>
        <v/>
      </c>
    </row>
    <row r="233">
      <c r="A233" s="6" t="n"/>
      <c r="B233" s="6" t="inlineStr">
        <is>
          <t>A-EL CLNR</t>
        </is>
      </c>
      <c r="C233" s="6" t="n"/>
      <c r="D233" s="7">
        <f>SUMIFS($D$7:$D$212,$B$7:$B$212,$B233)</f>
        <v/>
      </c>
      <c r="E233" s="7">
        <f>SUMIFS($E$7:$E$212,$B$7:$B$212,$B233)</f>
        <v/>
      </c>
      <c r="F233" s="7">
        <f>SUMIFS($F$7:$F$212,$B$7:$B$212,$B233)</f>
        <v/>
      </c>
      <c r="G233" s="7">
        <f>SUMIFS($G$7:$G$212,$B$7:$B$212,$B233)</f>
        <v/>
      </c>
      <c r="H233" s="7">
        <f>SUMIFS($H$7:$H$212,$B$7:$B$212,$B233)</f>
        <v/>
      </c>
    </row>
    <row r="234">
      <c r="A234" s="6" t="n"/>
      <c r="B234" s="6" t="inlineStr">
        <is>
          <t>A-EL DPCH</t>
        </is>
      </c>
      <c r="C234" s="6" t="n"/>
      <c r="D234" s="7">
        <f>SUMIFS($D$7:$D$212,$B$7:$B$212,$B234)</f>
        <v/>
      </c>
      <c r="E234" s="7">
        <f>SUMIFS($E$7:$E$212,$B$7:$B$212,$B234)</f>
        <v/>
      </c>
      <c r="F234" s="7">
        <f>SUMIFS($F$7:$F$212,$B$7:$B$212,$B234)</f>
        <v/>
      </c>
      <c r="G234" s="7">
        <f>SUMIFS($G$7:$G$212,$B$7:$B$212,$B234)</f>
        <v/>
      </c>
      <c r="H234" s="7">
        <f>SUMIFS($H$7:$H$212,$B$7:$B$212,$B234)</f>
        <v/>
      </c>
    </row>
    <row r="235">
      <c r="A235" s="6" t="n"/>
      <c r="B235" s="6" t="inlineStr">
        <is>
          <t>A-EL PKNG HIGH_RISK</t>
        </is>
      </c>
      <c r="C235" s="6" t="n"/>
      <c r="D235" s="7">
        <f>SUMIFS($D$7:$D$212,$B$7:$B$212,$B235)</f>
        <v/>
      </c>
      <c r="E235" s="7">
        <f>SUMIFS($E$7:$E$212,$B$7:$B$212,$B235)</f>
        <v/>
      </c>
      <c r="F235" s="7">
        <f>SUMIFS($F$7:$F$212,$B$7:$B$212,$B235)</f>
        <v/>
      </c>
      <c r="G235" s="7">
        <f>SUMIFS($G$7:$G$212,$B$7:$B$212,$B235)</f>
        <v/>
      </c>
      <c r="H235" s="7">
        <f>SUMIFS($H$7:$H$212,$B$7:$B$212,$B235)</f>
        <v/>
      </c>
    </row>
    <row r="236">
      <c r="A236" s="6" t="n"/>
      <c r="B236" s="6" t="inlineStr">
        <is>
          <t>A-EL PKNG SLEEVING</t>
        </is>
      </c>
      <c r="C236" s="6" t="n"/>
      <c r="D236" s="7">
        <f>SUMIFS($D$7:$D$212,$B$7:$B$212,$B236)</f>
        <v/>
      </c>
      <c r="E236" s="7">
        <f>SUMIFS($E$7:$E$212,$B$7:$B$212,$B236)</f>
        <v/>
      </c>
      <c r="F236" s="7">
        <f>SUMIFS($F$7:$F$212,$B$7:$B$212,$B236)</f>
        <v/>
      </c>
      <c r="G236" s="7">
        <f>SUMIFS($G$7:$G$212,$B$7:$B$212,$B236)</f>
        <v/>
      </c>
      <c r="H236" s="7">
        <f>SUMIFS($H$7:$H$212,$B$7:$B$212,$B236)</f>
        <v/>
      </c>
    </row>
    <row r="237">
      <c r="A237" s="6" t="n"/>
      <c r="B237" s="6" t="inlineStr">
        <is>
          <t>A-EL PROD BELT</t>
        </is>
      </c>
      <c r="C237" s="6" t="n"/>
      <c r="D237" s="7">
        <f>SUMIFS($D$7:$D$212,$B$7:$B$212,$B237)</f>
        <v/>
      </c>
      <c r="E237" s="7">
        <f>SUMIFS($E$7:$E$212,$B$7:$B$212,$B237)</f>
        <v/>
      </c>
      <c r="F237" s="7">
        <f>SUMIFS($F$7:$F$212,$B$7:$B$212,$B237)</f>
        <v/>
      </c>
      <c r="G237" s="7">
        <f>SUMIFS($G$7:$G$212,$B$7:$B$212,$B237)</f>
        <v/>
      </c>
      <c r="H237" s="7">
        <f>SUMIFS($H$7:$H$212,$B$7:$B$212,$B237)</f>
        <v/>
      </c>
    </row>
    <row r="238">
      <c r="A238" s="6" t="n"/>
      <c r="B238" s="6" t="inlineStr">
        <is>
          <t>A-EL PROD FORMING</t>
        </is>
      </c>
      <c r="C238" s="6" t="n"/>
      <c r="D238" s="7">
        <f>SUMIFS($D$7:$D$212,$B$7:$B$212,$B238)</f>
        <v/>
      </c>
      <c r="E238" s="7">
        <f>SUMIFS($E$7:$E$212,$B$7:$B$212,$B238)</f>
        <v/>
      </c>
      <c r="F238" s="7">
        <f>SUMIFS($F$7:$F$212,$B$7:$B$212,$B238)</f>
        <v/>
      </c>
      <c r="G238" s="7">
        <f>SUMIFS($G$7:$G$212,$B$7:$B$212,$B238)</f>
        <v/>
      </c>
      <c r="H238" s="7">
        <f>SUMIFS($H$7:$H$212,$B$7:$B$212,$B238)</f>
        <v/>
      </c>
    </row>
    <row r="239">
      <c r="A239" s="6" t="n"/>
      <c r="B239" s="6" t="inlineStr">
        <is>
          <t>A-EL PROD FRYING</t>
        </is>
      </c>
      <c r="C239" s="6" t="n"/>
      <c r="D239" s="7">
        <f>SUMIFS($D$7:$D$212,$B$7:$B$212,$B239)</f>
        <v/>
      </c>
      <c r="E239" s="7">
        <f>SUMIFS($E$7:$E$212,$B$7:$B$212,$B239)</f>
        <v/>
      </c>
      <c r="F239" s="7">
        <f>SUMIFS($F$7:$F$212,$B$7:$B$212,$B239)</f>
        <v/>
      </c>
      <c r="G239" s="7">
        <f>SUMIFS($G$7:$G$212,$B$7:$B$212,$B239)</f>
        <v/>
      </c>
      <c r="H239" s="7">
        <f>SUMIFS($H$7:$H$212,$B$7:$B$212,$B239)</f>
        <v/>
      </c>
    </row>
    <row r="240">
      <c r="A240" s="6" t="n"/>
      <c r="B240" s="6" t="inlineStr">
        <is>
          <t>A-EL PROD PREPARATION</t>
        </is>
      </c>
      <c r="C240" s="6" t="n"/>
      <c r="D240" s="7">
        <f>SUMIFS($D$7:$D$212,$B$7:$B$212,$B240)</f>
        <v/>
      </c>
      <c r="E240" s="7">
        <f>SUMIFS($E$7:$E$212,$B$7:$B$212,$B240)</f>
        <v/>
      </c>
      <c r="F240" s="7">
        <f>SUMIFS($F$7:$F$212,$B$7:$B$212,$B240)</f>
        <v/>
      </c>
      <c r="G240" s="7">
        <f>SUMIFS($G$7:$G$212,$B$7:$B$212,$B240)</f>
        <v/>
      </c>
      <c r="H240" s="7">
        <f>SUMIFS($H$7:$H$212,$B$7:$B$212,$B240)</f>
        <v/>
      </c>
    </row>
    <row r="241">
      <c r="A241" s="6" t="n"/>
      <c r="B241" s="6" t="inlineStr">
        <is>
          <t>A-EL TECHNICAL</t>
        </is>
      </c>
      <c r="C241" s="6" t="n"/>
      <c r="D241" s="7">
        <f>SUMIFS($D$7:$D$212,$B$7:$B$212,$B241)</f>
        <v/>
      </c>
      <c r="E241" s="7">
        <f>SUMIFS($E$7:$E$212,$B$7:$B$212,$B241)</f>
        <v/>
      </c>
      <c r="F241" s="7">
        <f>SUMIFS($F$7:$F$212,$B$7:$B$212,$B241)</f>
        <v/>
      </c>
      <c r="G241" s="7">
        <f>SUMIFS($G$7:$G$212,$B$7:$B$212,$B241)</f>
        <v/>
      </c>
      <c r="H241" s="7">
        <f>SUMIFS($H$7:$H$212,$B$7:$B$212,$B241)</f>
        <v/>
      </c>
    </row>
    <row r="242">
      <c r="A242" s="6" t="n"/>
      <c r="B242" s="6" t="inlineStr">
        <is>
          <t>A-EL WRHS</t>
        </is>
      </c>
      <c r="C242" s="6" t="n"/>
      <c r="D242" s="7">
        <f>SUMIFS($D$7:$D$212,$B$7:$B$212,$B242)</f>
        <v/>
      </c>
      <c r="E242" s="7">
        <f>SUMIFS($E$7:$E$212,$B$7:$B$212,$B242)</f>
        <v/>
      </c>
      <c r="F242" s="7">
        <f>SUMIFS($F$7:$F$212,$B$7:$B$212,$B242)</f>
        <v/>
      </c>
      <c r="G242" s="7">
        <f>SUMIFS($G$7:$G$212,$B$7:$B$212,$B242)</f>
        <v/>
      </c>
      <c r="H242" s="7">
        <f>SUMIFS($H$7:$H$212,$B$7:$B$212,$B242)</f>
        <v/>
      </c>
    </row>
    <row r="243">
      <c r="A243" s="6" t="n"/>
      <c r="B243" s="6" t="inlineStr">
        <is>
          <t>A-PM PKNG HIGH_RISK</t>
        </is>
      </c>
      <c r="C243" s="6" t="n"/>
      <c r="D243" s="7">
        <f>SUMIFS($D$7:$D$212,$B$7:$B$212,$B243)</f>
        <v/>
      </c>
      <c r="E243" s="7">
        <f>SUMIFS($E$7:$E$212,$B$7:$B$212,$B243)</f>
        <v/>
      </c>
      <c r="F243" s="7">
        <f>SUMIFS($F$7:$F$212,$B$7:$B$212,$B243)</f>
        <v/>
      </c>
      <c r="G243" s="7">
        <f>SUMIFS($G$7:$G$212,$B$7:$B$212,$B243)</f>
        <v/>
      </c>
      <c r="H243" s="7">
        <f>SUMIFS($H$7:$H$212,$B$7:$B$212,$B243)</f>
        <v/>
      </c>
    </row>
    <row r="244">
      <c r="A244" s="6" t="n"/>
      <c r="B244" s="6" t="inlineStr">
        <is>
          <t>A-RS PKNG SLEEVING</t>
        </is>
      </c>
      <c r="C244" s="6" t="n"/>
      <c r="D244" s="7">
        <f>SUMIFS($D$7:$D$212,$B$7:$B$212,$B244)</f>
        <v/>
      </c>
      <c r="E244" s="7">
        <f>SUMIFS($E$7:$E$212,$B$7:$B$212,$B244)</f>
        <v/>
      </c>
      <c r="F244" s="7">
        <f>SUMIFS($F$7:$F$212,$B$7:$B$212,$B244)</f>
        <v/>
      </c>
      <c r="G244" s="7">
        <f>SUMIFS($G$7:$G$212,$B$7:$B$212,$B244)</f>
        <v/>
      </c>
      <c r="H244" s="7">
        <f>SUMIFS($H$7:$H$212,$B$7:$B$212,$B244)</f>
        <v/>
      </c>
    </row>
    <row r="245">
      <c r="A245" s="6" t="n"/>
      <c r="B245" s="6" t="inlineStr">
        <is>
          <t>A-RS PROD BELT</t>
        </is>
      </c>
      <c r="C245" s="6" t="n"/>
      <c r="D245" s="7">
        <f>SUMIFS($D$7:$D$212,$B$7:$B$212,$B245)</f>
        <v/>
      </c>
      <c r="E245" s="7">
        <f>SUMIFS($E$7:$E$212,$B$7:$B$212,$B245)</f>
        <v/>
      </c>
      <c r="F245" s="7">
        <f>SUMIFS($F$7:$F$212,$B$7:$B$212,$B245)</f>
        <v/>
      </c>
      <c r="G245" s="7">
        <f>SUMIFS($G$7:$G$212,$B$7:$B$212,$B245)</f>
        <v/>
      </c>
      <c r="H245" s="7">
        <f>SUMIFS($H$7:$H$212,$B$7:$B$212,$B245)</f>
        <v/>
      </c>
    </row>
    <row r="246">
      <c r="A246" s="6" t="n"/>
      <c r="B246" s="6" t="inlineStr">
        <is>
          <t>A-RS PROD FRYING</t>
        </is>
      </c>
      <c r="C246" s="6" t="n"/>
      <c r="D246" s="7">
        <f>SUMIFS($D$7:$D$212,$B$7:$B$212,$B246)</f>
        <v/>
      </c>
      <c r="E246" s="7">
        <f>SUMIFS($E$7:$E$212,$B$7:$B$212,$B246)</f>
        <v/>
      </c>
      <c r="F246" s="7">
        <f>SUMIFS($F$7:$F$212,$B$7:$B$212,$B246)</f>
        <v/>
      </c>
      <c r="G246" s="7">
        <f>SUMIFS($G$7:$G$212,$B$7:$B$212,$B246)</f>
        <v/>
      </c>
      <c r="H246" s="7">
        <f>SUMIFS($H$7:$H$212,$B$7:$B$212,$B246)</f>
        <v/>
      </c>
    </row>
    <row r="248">
      <c r="A248" s="3" t="inlineStr">
        <is>
          <t>Grouped totals (by category prefix)</t>
        </is>
      </c>
    </row>
    <row r="249">
      <c r="A249" s="4" t="inlineStr">
        <is>
          <t>Categories rolled up to 4-character groups.</t>
        </is>
      </c>
    </row>
    <row r="250">
      <c r="A250" s="5" t="n"/>
      <c r="B250" s="5" t="inlineStr">
        <is>
          <t>Category</t>
        </is>
      </c>
      <c r="C250" s="5" t="n"/>
      <c r="D250" s="5" t="inlineStr">
        <is>
          <t>Basic hours</t>
        </is>
      </c>
      <c r="E250" s="5" t="inlineStr">
        <is>
          <t>Mon–Fri overtime</t>
        </is>
      </c>
      <c r="F250" s="5" t="inlineStr">
        <is>
          <t>Sat/Sun overtime</t>
        </is>
      </c>
      <c r="G250" s="5" t="inlineStr">
        <is>
          <t>Annual holiday</t>
        </is>
      </c>
      <c r="H250" s="5" t="inlineStr">
        <is>
          <t>Total paid hours</t>
        </is>
      </c>
    </row>
    <row r="251">
      <c r="A251" s="6" t="n"/>
      <c r="B251" s="6" t="inlineStr">
        <is>
          <t>A-EL CLNR</t>
        </is>
      </c>
      <c r="C251" s="6" t="n"/>
      <c r="D251" s="7" t="n">
        <v>193</v>
      </c>
      <c r="E251" s="7" t="n">
        <v>17.5</v>
      </c>
      <c r="F251" s="7" t="n">
        <v>0</v>
      </c>
      <c r="G251" s="7" t="n">
        <v>0</v>
      </c>
      <c r="H251" s="7" t="n">
        <v>210.5</v>
      </c>
    </row>
    <row r="252">
      <c r="A252" s="6" t="n"/>
      <c r="B252" s="6" t="inlineStr">
        <is>
          <t>A-EL DPCH</t>
        </is>
      </c>
      <c r="C252" s="6" t="n"/>
      <c r="D252" s="7" t="n">
        <v>35.5</v>
      </c>
      <c r="E252" s="7" t="n">
        <v>0</v>
      </c>
      <c r="F252" s="7" t="n">
        <v>0</v>
      </c>
      <c r="G252" s="7" t="n">
        <v>0</v>
      </c>
      <c r="H252" s="7" t="n">
        <v>35.5</v>
      </c>
    </row>
    <row r="253">
      <c r="A253" s="6" t="n"/>
      <c r="B253" s="6" t="inlineStr">
        <is>
          <t>A-EL PKNG</t>
        </is>
      </c>
      <c r="C253" s="6" t="n"/>
      <c r="D253" s="7" t="n">
        <v>511</v>
      </c>
      <c r="E253" s="7" t="n">
        <v>7.25</v>
      </c>
      <c r="F253" s="7" t="n">
        <v>0</v>
      </c>
      <c r="G253" s="7" t="n">
        <v>0</v>
      </c>
      <c r="H253" s="7" t="n">
        <v>518.25</v>
      </c>
    </row>
    <row r="254">
      <c r="A254" s="6" t="n"/>
      <c r="B254" s="6" t="inlineStr">
        <is>
          <t>A-EL PROD</t>
        </is>
      </c>
      <c r="C254" s="6" t="n"/>
      <c r="D254" s="7" t="n">
        <v>695</v>
      </c>
      <c r="E254" s="7" t="n">
        <v>0</v>
      </c>
      <c r="F254" s="7" t="n">
        <v>0</v>
      </c>
      <c r="G254" s="7" t="n">
        <v>0</v>
      </c>
      <c r="H254" s="7" t="n">
        <v>695</v>
      </c>
    </row>
    <row r="255">
      <c r="A255" s="6" t="n"/>
      <c r="B255" s="6" t="inlineStr">
        <is>
          <t>A-EL TECH</t>
        </is>
      </c>
      <c r="C255" s="6" t="n"/>
      <c r="D255" s="7" t="n">
        <v>57.5</v>
      </c>
      <c r="E255" s="7" t="n">
        <v>0</v>
      </c>
      <c r="F255" s="7" t="n">
        <v>0</v>
      </c>
      <c r="G255" s="7" t="n">
        <v>0</v>
      </c>
      <c r="H255" s="7" t="n">
        <v>57.5</v>
      </c>
    </row>
    <row r="256">
      <c r="A256" s="6" t="n"/>
      <c r="B256" s="6" t="inlineStr">
        <is>
          <t>A-EL WRHS</t>
        </is>
      </c>
      <c r="C256" s="6" t="n"/>
      <c r="D256" s="7" t="n">
        <v>15.5</v>
      </c>
      <c r="E256" s="7" t="n">
        <v>0</v>
      </c>
      <c r="F256" s="7" t="n">
        <v>0</v>
      </c>
      <c r="G256" s="7" t="n">
        <v>0</v>
      </c>
      <c r="H256" s="7" t="n">
        <v>15.5</v>
      </c>
    </row>
    <row r="257">
      <c r="A257" s="6" t="n"/>
      <c r="B257" s="6" t="inlineStr">
        <is>
          <t>A-PM PKNG</t>
        </is>
      </c>
      <c r="C257" s="6" t="n"/>
      <c r="D257" s="7" t="n">
        <v>35.25</v>
      </c>
      <c r="E257" s="7" t="n">
        <v>0</v>
      </c>
      <c r="F257" s="7" t="n">
        <v>0</v>
      </c>
      <c r="G257" s="7" t="n">
        <v>0</v>
      </c>
      <c r="H257" s="7" t="n">
        <v>35.25</v>
      </c>
    </row>
    <row r="258">
      <c r="A258" s="6" t="n"/>
      <c r="B258" s="6" t="inlineStr">
        <is>
          <t>A-RS PKNG</t>
        </is>
      </c>
      <c r="C258" s="6" t="n"/>
      <c r="D258" s="7" t="n">
        <v>26.75</v>
      </c>
      <c r="E258" s="7" t="n">
        <v>0</v>
      </c>
      <c r="F258" s="7" t="n">
        <v>0</v>
      </c>
      <c r="G258" s="7" t="n">
        <v>0</v>
      </c>
      <c r="H258" s="7" t="n">
        <v>26.75</v>
      </c>
    </row>
    <row r="259">
      <c r="A259" s="6" t="n"/>
      <c r="B259" s="6" t="inlineStr">
        <is>
          <t>A-RS PROD</t>
        </is>
      </c>
      <c r="C259" s="6" t="n"/>
      <c r="D259" s="7" t="n">
        <v>41.5</v>
      </c>
      <c r="E259" s="7" t="n">
        <v>0</v>
      </c>
      <c r="F259" s="7" t="n">
        <v>0</v>
      </c>
      <c r="G259" s="7" t="n">
        <v>0</v>
      </c>
      <c r="H259" s="7" t="n">
        <v>41.5</v>
      </c>
    </row>
    <row r="260">
      <c r="A260" s="6" t="n"/>
      <c r="B260" s="6" t="inlineStr">
        <is>
          <t>CLNR</t>
        </is>
      </c>
      <c r="C260" s="6" t="n"/>
      <c r="D260" s="7" t="n">
        <v>186.5</v>
      </c>
      <c r="E260" s="7" t="n">
        <v>28</v>
      </c>
      <c r="F260" s="7" t="n">
        <v>8.5</v>
      </c>
      <c r="G260" s="7" t="n">
        <v>0</v>
      </c>
      <c r="H260" s="7" t="n">
        <v>223</v>
      </c>
    </row>
    <row r="261">
      <c r="A261" s="6" t="n"/>
      <c r="B261" s="6" t="inlineStr">
        <is>
          <t>DPCH</t>
        </is>
      </c>
      <c r="C261" s="6" t="n"/>
      <c r="D261" s="7" t="n">
        <v>41.25</v>
      </c>
      <c r="E261" s="7" t="n">
        <v>24.25</v>
      </c>
      <c r="F261" s="7" t="n">
        <v>0</v>
      </c>
      <c r="G261" s="7" t="n">
        <v>0</v>
      </c>
      <c r="H261" s="7" t="n">
        <v>65.5</v>
      </c>
    </row>
    <row r="262">
      <c r="A262" s="6" t="n"/>
      <c r="B262" s="6" t="inlineStr">
        <is>
          <t>OFCE</t>
        </is>
      </c>
      <c r="C262" s="6" t="n"/>
      <c r="D262" s="7" t="n">
        <v>442.5</v>
      </c>
      <c r="E262" s="7" t="n">
        <v>43.25</v>
      </c>
      <c r="F262" s="7" t="n">
        <v>0</v>
      </c>
      <c r="G262" s="7" t="n">
        <v>48</v>
      </c>
      <c r="H262" s="7" t="n">
        <v>533.75</v>
      </c>
    </row>
    <row r="263">
      <c r="A263" s="6" t="n"/>
      <c r="B263" s="6" t="inlineStr">
        <is>
          <t>PKNG</t>
        </is>
      </c>
      <c r="C263" s="6" t="n"/>
      <c r="D263" s="7" t="n">
        <v>760.25</v>
      </c>
      <c r="E263" s="7" t="n">
        <v>42</v>
      </c>
      <c r="F263" s="7" t="n">
        <v>0</v>
      </c>
      <c r="G263" s="7" t="n">
        <v>8</v>
      </c>
      <c r="H263" s="7" t="n">
        <v>810.25</v>
      </c>
    </row>
    <row r="264">
      <c r="A264" s="6" t="n"/>
      <c r="B264" s="6" t="inlineStr">
        <is>
          <t>PROD</t>
        </is>
      </c>
      <c r="C264" s="6" t="n"/>
      <c r="D264" s="7" t="n">
        <v>1269.75</v>
      </c>
      <c r="E264" s="7" t="n">
        <v>23</v>
      </c>
      <c r="F264" s="7" t="n">
        <v>0</v>
      </c>
      <c r="G264" s="7" t="n">
        <v>88</v>
      </c>
      <c r="H264" s="7" t="n">
        <v>1380.75</v>
      </c>
    </row>
    <row r="265">
      <c r="A265" s="6" t="n"/>
      <c r="B265" s="6" t="inlineStr">
        <is>
          <t>TECH</t>
        </is>
      </c>
      <c r="C265" s="6" t="n"/>
      <c r="D265" s="7" t="n">
        <v>197.25</v>
      </c>
      <c r="E265" s="7" t="n">
        <v>12.25</v>
      </c>
      <c r="F265" s="7" t="n">
        <v>0</v>
      </c>
      <c r="G265" s="7" t="n">
        <v>0</v>
      </c>
      <c r="H265" s="7" t="n">
        <v>209.5</v>
      </c>
    </row>
    <row r="266">
      <c r="A266" s="6" t="n"/>
      <c r="B266" s="6" t="inlineStr">
        <is>
          <t>WRHS</t>
        </is>
      </c>
      <c r="C266" s="6" t="n"/>
      <c r="D266" s="7" t="n">
        <v>149.75</v>
      </c>
      <c r="E266" s="7" t="n">
        <v>18.75</v>
      </c>
      <c r="F266" s="7" t="n">
        <v>7.75</v>
      </c>
      <c r="G266" s="7" t="n">
        <v>0</v>
      </c>
      <c r="H266" s="7" t="n">
        <v>176.25</v>
      </c>
    </row>
    <row r="268">
      <c r="A268" s="3" t="inlineStr">
        <is>
          <t>Gazebo vs agency summary</t>
        </is>
      </c>
    </row>
    <row r="269">
      <c r="A269" s="4" t="inlineStr">
        <is>
          <t>EMP = Gazebo staff; AGENCY = A- categories; TOTAL = both (formulas from employee table).</t>
        </is>
      </c>
    </row>
    <row r="270">
      <c r="B270" s="5" t="inlineStr">
        <is>
          <t>Category</t>
        </is>
      </c>
      <c r="C270" s="5" t="n"/>
      <c r="D270" s="5" t="inlineStr">
        <is>
          <t>Basic hours</t>
        </is>
      </c>
      <c r="E270" s="5" t="inlineStr">
        <is>
          <t>Mon–Fri overtime</t>
        </is>
      </c>
      <c r="F270" s="5" t="inlineStr">
        <is>
          <t>Sat/Sun overtime</t>
        </is>
      </c>
      <c r="G270" s="5" t="inlineStr">
        <is>
          <t>Annual holiday</t>
        </is>
      </c>
      <c r="H270" s="5" t="inlineStr">
        <is>
          <t>Total paid hours</t>
        </is>
      </c>
    </row>
    <row r="271">
      <c r="B271" s="6" t="n"/>
      <c r="C271" s="6" t="inlineStr">
        <is>
          <t>EMP</t>
        </is>
      </c>
      <c r="D271" s="7">
        <f>SUM($D$7:$D$212)-D272</f>
        <v/>
      </c>
      <c r="E271" s="7">
        <f>SUM($E$7:$E$212)-E272</f>
        <v/>
      </c>
      <c r="F271" s="7">
        <f>SUM($F$7:$F$212)-F272</f>
        <v/>
      </c>
      <c r="G271" s="7">
        <f>SUM($G$7:$G$212)-G272</f>
        <v/>
      </c>
      <c r="H271" s="7">
        <f>SUM($H$7:$H$212)-H272</f>
        <v/>
      </c>
    </row>
    <row r="272">
      <c r="B272" s="6" t="n"/>
      <c r="C272" s="6" t="inlineStr">
        <is>
          <t>AGENCY</t>
        </is>
      </c>
      <c r="D272" s="7">
        <f>SUMPRODUCT((LEFT($B$7:$B$212,2)="A-")*($D$7:$D$212))</f>
        <v/>
      </c>
      <c r="E272" s="7">
        <f>SUMPRODUCT((LEFT($B$7:$B$212,2)="A-")*($E$7:$E$212))</f>
        <v/>
      </c>
      <c r="F272" s="7">
        <f>SUMPRODUCT((LEFT($B$7:$B$212,2)="A-")*($F$7:$F$212))</f>
        <v/>
      </c>
      <c r="G272" s="7">
        <f>SUMPRODUCT((LEFT($B$7:$B$212,2)="A-")*($G$7:$G$212))</f>
        <v/>
      </c>
      <c r="H272" s="7">
        <f>SUMPRODUCT((LEFT($B$7:$B$212,2)="A-")*($H$7:$H$212))</f>
        <v/>
      </c>
    </row>
    <row r="273">
      <c r="B273" s="6" t="n"/>
      <c r="C273" s="6" t="inlineStr">
        <is>
          <t>TOTAL</t>
        </is>
      </c>
      <c r="D273" s="7">
        <f>D271+D272</f>
        <v/>
      </c>
      <c r="E273" s="7">
        <f>E271+E272</f>
        <v/>
      </c>
      <c r="F273" s="7">
        <f>F271+F272</f>
        <v/>
      </c>
      <c r="G273" s="7">
        <f>G271+G272</f>
        <v/>
      </c>
      <c r="H273" s="7">
        <f>H271+H272</f>
        <v/>
      </c>
    </row>
  </sheetData>
  <mergeCells count="12">
    <mergeCell ref="A1:H1"/>
    <mergeCell ref="A4:H4"/>
    <mergeCell ref="A215:H215"/>
    <mergeCell ref="A248:H248"/>
    <mergeCell ref="A218:H218"/>
    <mergeCell ref="A2:H2"/>
    <mergeCell ref="A219:H219"/>
    <mergeCell ref="A268:H268"/>
    <mergeCell ref="A269:H269"/>
    <mergeCell ref="A5:H5"/>
    <mergeCell ref="A249:H249"/>
    <mergeCell ref="A214:H2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Gazebo HR — Monthly Summary</t>
        </is>
      </c>
    </row>
    <row r="2">
      <c r="A2" s="2" t="inlineStr">
        <is>
          <t>Period: D 20/04/2026 to D 17/05/2026</t>
        </is>
      </c>
    </row>
    <row r="4">
      <c r="A4" s="3" t="inlineStr">
        <is>
          <t>Monthly summary — all employees (weeks combined)</t>
        </is>
      </c>
    </row>
    <row r="5">
      <c r="A5" s="4" t="inlineStr">
        <is>
          <t>Total paid hours per employee across all uploaded weeks. Totals use Excel formulas — click any hour cell to see Week sheet references.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</row>
    <row r="7">
      <c r="A7" s="6" t="inlineStr">
        <is>
          <t>K CARSANE</t>
        </is>
      </c>
      <c r="B7" s="6" t="inlineStr">
        <is>
          <t>CLNR</t>
        </is>
      </c>
      <c r="C7" s="7" t="n">
        <v>692</v>
      </c>
      <c r="D7" s="7">
        <f>SUMIF('Week1'!$A:$A,$A7,'Week1'!$D:$D)+SUMIF('Week2'!$A:$A,$A7,'Week2'!$D:$D)+SUMIF('Week3'!$A:$A,$A7,'Week3'!$D:$D)+SUMIF('Week4'!$A:$A,$A7,'Week4'!$D:$D)</f>
        <v/>
      </c>
      <c r="E7" s="7">
        <f>SUMIF('Week1'!$A:$A,$A7,'Week1'!$E:$E)+SUMIF('Week2'!$A:$A,$A7,'Week2'!$E:$E)+SUMIF('Week3'!$A:$A,$A7,'Week3'!$E:$E)+SUMIF('Week4'!$A:$A,$A7,'Week4'!$E:$E)</f>
        <v/>
      </c>
      <c r="F7" s="7">
        <f>SUMIF('Week1'!$A:$A,$A7,'Week1'!$F:$F)+SUMIF('Week2'!$A:$A,$A7,'Week2'!$F:$F)+SUMIF('Week3'!$A:$A,$A7,'Week3'!$F:$F)+SUMIF('Week4'!$A:$A,$A7,'Week4'!$F:$F)</f>
        <v/>
      </c>
      <c r="G7" s="7">
        <f>SUMIF('Week1'!$A:$A,$A7,'Week1'!$G:$G)+SUMIF('Week2'!$A:$A,$A7,'Week2'!$G:$G)+SUMIF('Week3'!$A:$A,$A7,'Week3'!$G:$G)+SUMIF('Week4'!$A:$A,$A7,'Week4'!$G:$G)</f>
        <v/>
      </c>
      <c r="H7" s="7">
        <f>SUMIF('Week1'!$A:$A,$A7,'Week1'!$H:$H)+SUMIF('Week2'!$A:$A,$A7,'Week2'!$H:$H)+SUMIF('Week3'!$A:$A,$A7,'Week3'!$H:$H)+SUMIF('Week4'!$A:$A,$A7,'Week4'!$H:$H)</f>
        <v/>
      </c>
    </row>
    <row r="8">
      <c r="A8" s="6" t="inlineStr">
        <is>
          <t>D GIVA</t>
        </is>
      </c>
      <c r="B8" s="6" t="inlineStr">
        <is>
          <t>CLNR</t>
        </is>
      </c>
      <c r="C8" s="7" t="n">
        <v>718</v>
      </c>
      <c r="D8" s="7">
        <f>SUMIF('Week1'!$A:$A,$A8,'Week1'!$D:$D)+SUMIF('Week2'!$A:$A,$A8,'Week2'!$D:$D)+SUMIF('Week3'!$A:$A,$A8,'Week3'!$D:$D)+SUMIF('Week4'!$A:$A,$A8,'Week4'!$D:$D)</f>
        <v/>
      </c>
      <c r="E8" s="7">
        <f>SUMIF('Week1'!$A:$A,$A8,'Week1'!$E:$E)+SUMIF('Week2'!$A:$A,$A8,'Week2'!$E:$E)+SUMIF('Week3'!$A:$A,$A8,'Week3'!$E:$E)+SUMIF('Week4'!$A:$A,$A8,'Week4'!$E:$E)</f>
        <v/>
      </c>
      <c r="F8" s="7">
        <f>SUMIF('Week1'!$A:$A,$A8,'Week1'!$F:$F)+SUMIF('Week2'!$A:$A,$A8,'Week2'!$F:$F)+SUMIF('Week3'!$A:$A,$A8,'Week3'!$F:$F)+SUMIF('Week4'!$A:$A,$A8,'Week4'!$F:$F)</f>
        <v/>
      </c>
      <c r="G8" s="7">
        <f>SUMIF('Week1'!$A:$A,$A8,'Week1'!$G:$G)+SUMIF('Week2'!$A:$A,$A8,'Week2'!$G:$G)+SUMIF('Week3'!$A:$A,$A8,'Week3'!$G:$G)+SUMIF('Week4'!$A:$A,$A8,'Week4'!$G:$G)</f>
        <v/>
      </c>
      <c r="H8" s="7">
        <f>SUMIF('Week1'!$A:$A,$A8,'Week1'!$H:$H)+SUMIF('Week2'!$A:$A,$A8,'Week2'!$H:$H)+SUMIF('Week3'!$A:$A,$A8,'Week3'!$H:$H)+SUMIF('Week4'!$A:$A,$A8,'Week4'!$H:$H)</f>
        <v/>
      </c>
    </row>
    <row r="9">
      <c r="A9" s="6" t="inlineStr">
        <is>
          <t>D KUMAR NARANBHAI RATHOD</t>
        </is>
      </c>
      <c r="B9" s="6" t="inlineStr">
        <is>
          <t>CLNR</t>
        </is>
      </c>
      <c r="C9" s="7" t="n">
        <v>629</v>
      </c>
      <c r="D9" s="7">
        <f>SUMIF('Week1'!$A:$A,$A9,'Week1'!$D:$D)+SUMIF('Week2'!$A:$A,$A9,'Week2'!$D:$D)+SUMIF('Week3'!$A:$A,$A9,'Week3'!$D:$D)+SUMIF('Week4'!$A:$A,$A9,'Week4'!$D:$D)</f>
        <v/>
      </c>
      <c r="E9" s="7">
        <f>SUMIF('Week1'!$A:$A,$A9,'Week1'!$E:$E)+SUMIF('Week2'!$A:$A,$A9,'Week2'!$E:$E)+SUMIF('Week3'!$A:$A,$A9,'Week3'!$E:$E)+SUMIF('Week4'!$A:$A,$A9,'Week4'!$E:$E)</f>
        <v/>
      </c>
      <c r="F9" s="7">
        <f>SUMIF('Week1'!$A:$A,$A9,'Week1'!$F:$F)+SUMIF('Week2'!$A:$A,$A9,'Week2'!$F:$F)+SUMIF('Week3'!$A:$A,$A9,'Week3'!$F:$F)+SUMIF('Week4'!$A:$A,$A9,'Week4'!$F:$F)</f>
        <v/>
      </c>
      <c r="G9" s="7">
        <f>SUMIF('Week1'!$A:$A,$A9,'Week1'!$G:$G)+SUMIF('Week2'!$A:$A,$A9,'Week2'!$G:$G)+SUMIF('Week3'!$A:$A,$A9,'Week3'!$G:$G)+SUMIF('Week4'!$A:$A,$A9,'Week4'!$G:$G)</f>
        <v/>
      </c>
      <c r="H9" s="7">
        <f>SUMIF('Week1'!$A:$A,$A9,'Week1'!$H:$H)+SUMIF('Week2'!$A:$A,$A9,'Week2'!$H:$H)+SUMIF('Week3'!$A:$A,$A9,'Week3'!$H:$H)+SUMIF('Week4'!$A:$A,$A9,'Week4'!$H:$H)</f>
        <v/>
      </c>
    </row>
    <row r="10">
      <c r="A10" s="6" t="inlineStr">
        <is>
          <t>D NATU</t>
        </is>
      </c>
      <c r="B10" s="6" t="inlineStr">
        <is>
          <t>CLNR</t>
        </is>
      </c>
      <c r="C10" s="7" t="n">
        <v>750</v>
      </c>
      <c r="D10" s="7">
        <f>SUMIF('Week1'!$A:$A,$A10,'Week1'!$D:$D)+SUMIF('Week2'!$A:$A,$A10,'Week2'!$D:$D)+SUMIF('Week3'!$A:$A,$A10,'Week3'!$D:$D)+SUMIF('Week4'!$A:$A,$A10,'Week4'!$D:$D)</f>
        <v/>
      </c>
      <c r="E10" s="7">
        <f>SUMIF('Week1'!$A:$A,$A10,'Week1'!$E:$E)+SUMIF('Week2'!$A:$A,$A10,'Week2'!$E:$E)+SUMIF('Week3'!$A:$A,$A10,'Week3'!$E:$E)+SUMIF('Week4'!$A:$A,$A10,'Week4'!$E:$E)</f>
        <v/>
      </c>
      <c r="F10" s="7">
        <f>SUMIF('Week1'!$A:$A,$A10,'Week1'!$F:$F)+SUMIF('Week2'!$A:$A,$A10,'Week2'!$F:$F)+SUMIF('Week3'!$A:$A,$A10,'Week3'!$F:$F)+SUMIF('Week4'!$A:$A,$A10,'Week4'!$F:$F)</f>
        <v/>
      </c>
      <c r="G10" s="7">
        <f>SUMIF('Week1'!$A:$A,$A10,'Week1'!$G:$G)+SUMIF('Week2'!$A:$A,$A10,'Week2'!$G:$G)+SUMIF('Week3'!$A:$A,$A10,'Week3'!$G:$G)+SUMIF('Week4'!$A:$A,$A10,'Week4'!$G:$G)</f>
        <v/>
      </c>
      <c r="H10" s="7">
        <f>SUMIF('Week1'!$A:$A,$A10,'Week1'!$H:$H)+SUMIF('Week2'!$A:$A,$A10,'Week2'!$H:$H)+SUMIF('Week3'!$A:$A,$A10,'Week3'!$H:$H)+SUMIF('Week4'!$A:$A,$A10,'Week4'!$H:$H)</f>
        <v/>
      </c>
    </row>
    <row r="11">
      <c r="A11" s="6" t="inlineStr">
        <is>
          <t>S NATU</t>
        </is>
      </c>
      <c r="B11" s="6" t="inlineStr">
        <is>
          <t>CLNR</t>
        </is>
      </c>
      <c r="C11" s="7" t="n">
        <v>579</v>
      </c>
      <c r="D11" s="7">
        <f>SUMIF('Week1'!$A:$A,$A11,'Week1'!$D:$D)+SUMIF('Week2'!$A:$A,$A11,'Week2'!$D:$D)+SUMIF('Week3'!$A:$A,$A11,'Week3'!$D:$D)+SUMIF('Week4'!$A:$A,$A11,'Week4'!$D:$D)</f>
        <v/>
      </c>
      <c r="E11" s="7">
        <f>SUMIF('Week1'!$A:$A,$A11,'Week1'!$E:$E)+SUMIF('Week2'!$A:$A,$A11,'Week2'!$E:$E)+SUMIF('Week3'!$A:$A,$A11,'Week3'!$E:$E)+SUMIF('Week4'!$A:$A,$A11,'Week4'!$E:$E)</f>
        <v/>
      </c>
      <c r="F11" s="7">
        <f>SUMIF('Week1'!$A:$A,$A11,'Week1'!$F:$F)+SUMIF('Week2'!$A:$A,$A11,'Week2'!$F:$F)+SUMIF('Week3'!$A:$A,$A11,'Week3'!$F:$F)+SUMIF('Week4'!$A:$A,$A11,'Week4'!$F:$F)</f>
        <v/>
      </c>
      <c r="G11" s="7">
        <f>SUMIF('Week1'!$A:$A,$A11,'Week1'!$G:$G)+SUMIF('Week2'!$A:$A,$A11,'Week2'!$G:$G)+SUMIF('Week3'!$A:$A,$A11,'Week3'!$G:$G)+SUMIF('Week4'!$A:$A,$A11,'Week4'!$G:$G)</f>
        <v/>
      </c>
      <c r="H11" s="7">
        <f>SUMIF('Week1'!$A:$A,$A11,'Week1'!$H:$H)+SUMIF('Week2'!$A:$A,$A11,'Week2'!$H:$H)+SUMIF('Week3'!$A:$A,$A11,'Week3'!$H:$H)+SUMIF('Week4'!$A:$A,$A11,'Week4'!$H:$H)</f>
        <v/>
      </c>
    </row>
    <row r="12">
      <c r="A12" s="6" t="inlineStr">
        <is>
          <t>T TIRKEY</t>
        </is>
      </c>
      <c r="B12" s="6" t="inlineStr">
        <is>
          <t>CLNR</t>
        </is>
      </c>
      <c r="C12" s="7" t="n">
        <v>506</v>
      </c>
      <c r="D12" s="7">
        <f>SUMIF('Week1'!$A:$A,$A12,'Week1'!$D:$D)+SUMIF('Week2'!$A:$A,$A12,'Week2'!$D:$D)+SUMIF('Week3'!$A:$A,$A12,'Week3'!$D:$D)+SUMIF('Week4'!$A:$A,$A12,'Week4'!$D:$D)</f>
        <v/>
      </c>
      <c r="E12" s="7">
        <f>SUMIF('Week1'!$A:$A,$A12,'Week1'!$E:$E)+SUMIF('Week2'!$A:$A,$A12,'Week2'!$E:$E)+SUMIF('Week3'!$A:$A,$A12,'Week3'!$E:$E)+SUMIF('Week4'!$A:$A,$A12,'Week4'!$E:$E)</f>
        <v/>
      </c>
      <c r="F12" s="7">
        <f>SUMIF('Week1'!$A:$A,$A12,'Week1'!$F:$F)+SUMIF('Week2'!$A:$A,$A12,'Week2'!$F:$F)+SUMIF('Week3'!$A:$A,$A12,'Week3'!$F:$F)+SUMIF('Week4'!$A:$A,$A12,'Week4'!$F:$F)</f>
        <v/>
      </c>
      <c r="G12" s="7">
        <f>SUMIF('Week1'!$A:$A,$A12,'Week1'!$G:$G)+SUMIF('Week2'!$A:$A,$A12,'Week2'!$G:$G)+SUMIF('Week3'!$A:$A,$A12,'Week3'!$G:$G)+SUMIF('Week4'!$A:$A,$A12,'Week4'!$G:$G)</f>
        <v/>
      </c>
      <c r="H12" s="7">
        <f>SUMIF('Week1'!$A:$A,$A12,'Week1'!$H:$H)+SUMIF('Week2'!$A:$A,$A12,'Week2'!$H:$H)+SUMIF('Week3'!$A:$A,$A12,'Week3'!$H:$H)+SUMIF('Week4'!$A:$A,$A12,'Week4'!$H:$H)</f>
        <v/>
      </c>
    </row>
    <row r="13">
      <c r="A13" s="6" t="inlineStr">
        <is>
          <t>U VINAYCHANDRA</t>
        </is>
      </c>
      <c r="B13" s="6" t="inlineStr">
        <is>
          <t>DPCH</t>
        </is>
      </c>
      <c r="C13" s="7" t="n">
        <v>426</v>
      </c>
      <c r="D13" s="7">
        <f>SUMIF('Week1'!$A:$A,$A13,'Week1'!$D:$D)+SUMIF('Week2'!$A:$A,$A13,'Week2'!$D:$D)+SUMIF('Week3'!$A:$A,$A13,'Week3'!$D:$D)+SUMIF('Week4'!$A:$A,$A13,'Week4'!$D:$D)</f>
        <v/>
      </c>
      <c r="E13" s="7">
        <f>SUMIF('Week1'!$A:$A,$A13,'Week1'!$E:$E)+SUMIF('Week2'!$A:$A,$A13,'Week2'!$E:$E)+SUMIF('Week3'!$A:$A,$A13,'Week3'!$E:$E)+SUMIF('Week4'!$A:$A,$A13,'Week4'!$E:$E)</f>
        <v/>
      </c>
      <c r="F13" s="7">
        <f>SUMIF('Week1'!$A:$A,$A13,'Week1'!$F:$F)+SUMIF('Week2'!$A:$A,$A13,'Week2'!$F:$F)+SUMIF('Week3'!$A:$A,$A13,'Week3'!$F:$F)+SUMIF('Week4'!$A:$A,$A13,'Week4'!$F:$F)</f>
        <v/>
      </c>
      <c r="G13" s="7">
        <f>SUMIF('Week1'!$A:$A,$A13,'Week1'!$G:$G)+SUMIF('Week2'!$A:$A,$A13,'Week2'!$G:$G)+SUMIF('Week3'!$A:$A,$A13,'Week3'!$G:$G)+SUMIF('Week4'!$A:$A,$A13,'Week4'!$G:$G)</f>
        <v/>
      </c>
      <c r="H13" s="7">
        <f>SUMIF('Week1'!$A:$A,$A13,'Week1'!$H:$H)+SUMIF('Week2'!$A:$A,$A13,'Week2'!$H:$H)+SUMIF('Week3'!$A:$A,$A13,'Week3'!$H:$H)+SUMIF('Week4'!$A:$A,$A13,'Week4'!$H:$H)</f>
        <v/>
      </c>
    </row>
    <row r="14">
      <c r="A14" s="6" t="inlineStr">
        <is>
          <t>S BHIMJI VAGADIYA</t>
        </is>
      </c>
      <c r="B14" s="6" t="inlineStr">
        <is>
          <t>OFCE</t>
        </is>
      </c>
      <c r="C14" s="7" t="n">
        <v>749</v>
      </c>
      <c r="D14" s="7">
        <f>SUMIF('Week1'!$A:$A,$A14,'Week1'!$D:$D)+SUMIF('Week2'!$A:$A,$A14,'Week2'!$D:$D)+SUMIF('Week3'!$A:$A,$A14,'Week3'!$D:$D)+SUMIF('Week4'!$A:$A,$A14,'Week4'!$D:$D)</f>
        <v/>
      </c>
      <c r="E14" s="7">
        <f>SUMIF('Week1'!$A:$A,$A14,'Week1'!$E:$E)+SUMIF('Week2'!$A:$A,$A14,'Week2'!$E:$E)+SUMIF('Week3'!$A:$A,$A14,'Week3'!$E:$E)+SUMIF('Week4'!$A:$A,$A14,'Week4'!$E:$E)</f>
        <v/>
      </c>
      <c r="F14" s="7">
        <f>SUMIF('Week1'!$A:$A,$A14,'Week1'!$F:$F)+SUMIF('Week2'!$A:$A,$A14,'Week2'!$F:$F)+SUMIF('Week3'!$A:$A,$A14,'Week3'!$F:$F)+SUMIF('Week4'!$A:$A,$A14,'Week4'!$F:$F)</f>
        <v/>
      </c>
      <c r="G14" s="7">
        <f>SUMIF('Week1'!$A:$A,$A14,'Week1'!$G:$G)+SUMIF('Week2'!$A:$A,$A14,'Week2'!$G:$G)+SUMIF('Week3'!$A:$A,$A14,'Week3'!$G:$G)+SUMIF('Week4'!$A:$A,$A14,'Week4'!$G:$G)</f>
        <v/>
      </c>
      <c r="H14" s="7">
        <f>SUMIF('Week1'!$A:$A,$A14,'Week1'!$H:$H)+SUMIF('Week2'!$A:$A,$A14,'Week2'!$H:$H)+SUMIF('Week3'!$A:$A,$A14,'Week3'!$H:$H)+SUMIF('Week4'!$A:$A,$A14,'Week4'!$H:$H)</f>
        <v/>
      </c>
    </row>
    <row r="15">
      <c r="A15" s="6" t="inlineStr">
        <is>
          <t>D DEVUSINH BAROT</t>
        </is>
      </c>
      <c r="B15" s="6" t="inlineStr">
        <is>
          <t>OFCE</t>
        </is>
      </c>
      <c r="C15" s="7" t="n">
        <v>752</v>
      </c>
      <c r="D15" s="7">
        <f>SUMIF('Week1'!$A:$A,$A15,'Week1'!$D:$D)+SUMIF('Week2'!$A:$A,$A15,'Week2'!$D:$D)+SUMIF('Week3'!$A:$A,$A15,'Week3'!$D:$D)+SUMIF('Week4'!$A:$A,$A15,'Week4'!$D:$D)</f>
        <v/>
      </c>
      <c r="E15" s="7">
        <f>SUMIF('Week1'!$A:$A,$A15,'Week1'!$E:$E)+SUMIF('Week2'!$A:$A,$A15,'Week2'!$E:$E)+SUMIF('Week3'!$A:$A,$A15,'Week3'!$E:$E)+SUMIF('Week4'!$A:$A,$A15,'Week4'!$E:$E)</f>
        <v/>
      </c>
      <c r="F15" s="7">
        <f>SUMIF('Week1'!$A:$A,$A15,'Week1'!$F:$F)+SUMIF('Week2'!$A:$A,$A15,'Week2'!$F:$F)+SUMIF('Week3'!$A:$A,$A15,'Week3'!$F:$F)+SUMIF('Week4'!$A:$A,$A15,'Week4'!$F:$F)</f>
        <v/>
      </c>
      <c r="G15" s="7">
        <f>SUMIF('Week1'!$A:$A,$A15,'Week1'!$G:$G)+SUMIF('Week2'!$A:$A,$A15,'Week2'!$G:$G)+SUMIF('Week3'!$A:$A,$A15,'Week3'!$G:$G)+SUMIF('Week4'!$A:$A,$A15,'Week4'!$G:$G)</f>
        <v/>
      </c>
      <c r="H15" s="7">
        <f>SUMIF('Week1'!$A:$A,$A15,'Week1'!$H:$H)+SUMIF('Week2'!$A:$A,$A15,'Week2'!$H:$H)+SUMIF('Week3'!$A:$A,$A15,'Week3'!$H:$H)+SUMIF('Week4'!$A:$A,$A15,'Week4'!$H:$H)</f>
        <v/>
      </c>
    </row>
    <row r="16">
      <c r="A16" s="6" t="inlineStr">
        <is>
          <t>B DIKER</t>
        </is>
      </c>
      <c r="B16" s="6" t="inlineStr">
        <is>
          <t>OFCE</t>
        </is>
      </c>
      <c r="C16" s="7" t="n">
        <v>747</v>
      </c>
      <c r="D16" s="7">
        <f>SUMIF('Week1'!$A:$A,$A16,'Week1'!$D:$D)+SUMIF('Week2'!$A:$A,$A16,'Week2'!$D:$D)+SUMIF('Week3'!$A:$A,$A16,'Week3'!$D:$D)+SUMIF('Week4'!$A:$A,$A16,'Week4'!$D:$D)</f>
        <v/>
      </c>
      <c r="E16" s="7">
        <f>SUMIF('Week1'!$A:$A,$A16,'Week1'!$E:$E)+SUMIF('Week2'!$A:$A,$A16,'Week2'!$E:$E)+SUMIF('Week3'!$A:$A,$A16,'Week3'!$E:$E)+SUMIF('Week4'!$A:$A,$A16,'Week4'!$E:$E)</f>
        <v/>
      </c>
      <c r="F16" s="7">
        <f>SUMIF('Week1'!$A:$A,$A16,'Week1'!$F:$F)+SUMIF('Week2'!$A:$A,$A16,'Week2'!$F:$F)+SUMIF('Week3'!$A:$A,$A16,'Week3'!$F:$F)+SUMIF('Week4'!$A:$A,$A16,'Week4'!$F:$F)</f>
        <v/>
      </c>
      <c r="G16" s="7">
        <f>SUMIF('Week1'!$A:$A,$A16,'Week1'!$G:$G)+SUMIF('Week2'!$A:$A,$A16,'Week2'!$G:$G)+SUMIF('Week3'!$A:$A,$A16,'Week3'!$G:$G)+SUMIF('Week4'!$A:$A,$A16,'Week4'!$G:$G)</f>
        <v/>
      </c>
      <c r="H16" s="7">
        <f>SUMIF('Week1'!$A:$A,$A16,'Week1'!$H:$H)+SUMIF('Week2'!$A:$A,$A16,'Week2'!$H:$H)+SUMIF('Week3'!$A:$A,$A16,'Week3'!$H:$H)+SUMIF('Week4'!$A:$A,$A16,'Week4'!$H:$H)</f>
        <v/>
      </c>
    </row>
    <row r="17">
      <c r="A17" s="6" t="inlineStr">
        <is>
          <t>U GOHEL</t>
        </is>
      </c>
      <c r="B17" s="6" t="inlineStr">
        <is>
          <t>OFCE</t>
        </is>
      </c>
      <c r="C17" s="7" t="n">
        <v>691</v>
      </c>
      <c r="D17" s="7">
        <f>SUMIF('Week1'!$A:$A,$A17,'Week1'!$D:$D)+SUMIF('Week2'!$A:$A,$A17,'Week2'!$D:$D)+SUMIF('Week3'!$A:$A,$A17,'Week3'!$D:$D)+SUMIF('Week4'!$A:$A,$A17,'Week4'!$D:$D)</f>
        <v/>
      </c>
      <c r="E17" s="7">
        <f>SUMIF('Week1'!$A:$A,$A17,'Week1'!$E:$E)+SUMIF('Week2'!$A:$A,$A17,'Week2'!$E:$E)+SUMIF('Week3'!$A:$A,$A17,'Week3'!$E:$E)+SUMIF('Week4'!$A:$A,$A17,'Week4'!$E:$E)</f>
        <v/>
      </c>
      <c r="F17" s="7">
        <f>SUMIF('Week1'!$A:$A,$A17,'Week1'!$F:$F)+SUMIF('Week2'!$A:$A,$A17,'Week2'!$F:$F)+SUMIF('Week3'!$A:$A,$A17,'Week3'!$F:$F)+SUMIF('Week4'!$A:$A,$A17,'Week4'!$F:$F)</f>
        <v/>
      </c>
      <c r="G17" s="7">
        <f>SUMIF('Week1'!$A:$A,$A17,'Week1'!$G:$G)+SUMIF('Week2'!$A:$A,$A17,'Week2'!$G:$G)+SUMIF('Week3'!$A:$A,$A17,'Week3'!$G:$G)+SUMIF('Week4'!$A:$A,$A17,'Week4'!$G:$G)</f>
        <v/>
      </c>
      <c r="H17" s="7">
        <f>SUMIF('Week1'!$A:$A,$A17,'Week1'!$H:$H)+SUMIF('Week2'!$A:$A,$A17,'Week2'!$H:$H)+SUMIF('Week3'!$A:$A,$A17,'Week3'!$H:$H)+SUMIF('Week4'!$A:$A,$A17,'Week4'!$H:$H)</f>
        <v/>
      </c>
    </row>
    <row r="18">
      <c r="A18" s="6" t="inlineStr">
        <is>
          <t>P LEITE</t>
        </is>
      </c>
      <c r="B18" s="6" t="inlineStr">
        <is>
          <t>OFCE</t>
        </is>
      </c>
      <c r="C18" s="7" t="n">
        <v>504</v>
      </c>
      <c r="D18" s="7">
        <f>SUMIF('Week1'!$A:$A,$A18,'Week1'!$D:$D)+SUMIF('Week2'!$A:$A,$A18,'Week2'!$D:$D)+SUMIF('Week3'!$A:$A,$A18,'Week3'!$D:$D)+SUMIF('Week4'!$A:$A,$A18,'Week4'!$D:$D)</f>
        <v/>
      </c>
      <c r="E18" s="7">
        <f>SUMIF('Week1'!$A:$A,$A18,'Week1'!$E:$E)+SUMIF('Week2'!$A:$A,$A18,'Week2'!$E:$E)+SUMIF('Week3'!$A:$A,$A18,'Week3'!$E:$E)+SUMIF('Week4'!$A:$A,$A18,'Week4'!$E:$E)</f>
        <v/>
      </c>
      <c r="F18" s="7">
        <f>SUMIF('Week1'!$A:$A,$A18,'Week1'!$F:$F)+SUMIF('Week2'!$A:$A,$A18,'Week2'!$F:$F)+SUMIF('Week3'!$A:$A,$A18,'Week3'!$F:$F)+SUMIF('Week4'!$A:$A,$A18,'Week4'!$F:$F)</f>
        <v/>
      </c>
      <c r="G18" s="7">
        <f>SUMIF('Week1'!$A:$A,$A18,'Week1'!$G:$G)+SUMIF('Week2'!$A:$A,$A18,'Week2'!$G:$G)+SUMIF('Week3'!$A:$A,$A18,'Week3'!$G:$G)+SUMIF('Week4'!$A:$A,$A18,'Week4'!$G:$G)</f>
        <v/>
      </c>
      <c r="H18" s="7">
        <f>SUMIF('Week1'!$A:$A,$A18,'Week1'!$H:$H)+SUMIF('Week2'!$A:$A,$A18,'Week2'!$H:$H)+SUMIF('Week3'!$A:$A,$A18,'Week3'!$H:$H)+SUMIF('Week4'!$A:$A,$A18,'Week4'!$H:$H)</f>
        <v/>
      </c>
    </row>
    <row r="19">
      <c r="A19" s="6" t="inlineStr">
        <is>
          <t>P MALIK</t>
        </is>
      </c>
      <c r="B19" s="6" t="inlineStr">
        <is>
          <t>OFCE</t>
        </is>
      </c>
      <c r="C19" s="7" t="n">
        <v>679</v>
      </c>
      <c r="D19" s="7">
        <f>SUMIF('Week1'!$A:$A,$A19,'Week1'!$D:$D)+SUMIF('Week2'!$A:$A,$A19,'Week2'!$D:$D)+SUMIF('Week3'!$A:$A,$A19,'Week3'!$D:$D)+SUMIF('Week4'!$A:$A,$A19,'Week4'!$D:$D)</f>
        <v/>
      </c>
      <c r="E19" s="7">
        <f>SUMIF('Week1'!$A:$A,$A19,'Week1'!$E:$E)+SUMIF('Week2'!$A:$A,$A19,'Week2'!$E:$E)+SUMIF('Week3'!$A:$A,$A19,'Week3'!$E:$E)+SUMIF('Week4'!$A:$A,$A19,'Week4'!$E:$E)</f>
        <v/>
      </c>
      <c r="F19" s="7">
        <f>SUMIF('Week1'!$A:$A,$A19,'Week1'!$F:$F)+SUMIF('Week2'!$A:$A,$A19,'Week2'!$F:$F)+SUMIF('Week3'!$A:$A,$A19,'Week3'!$F:$F)+SUMIF('Week4'!$A:$A,$A19,'Week4'!$F:$F)</f>
        <v/>
      </c>
      <c r="G19" s="7">
        <f>SUMIF('Week1'!$A:$A,$A19,'Week1'!$G:$G)+SUMIF('Week2'!$A:$A,$A19,'Week2'!$G:$G)+SUMIF('Week3'!$A:$A,$A19,'Week3'!$G:$G)+SUMIF('Week4'!$A:$A,$A19,'Week4'!$G:$G)</f>
        <v/>
      </c>
      <c r="H19" s="7">
        <f>SUMIF('Week1'!$A:$A,$A19,'Week1'!$H:$H)+SUMIF('Week2'!$A:$A,$A19,'Week2'!$H:$H)+SUMIF('Week3'!$A:$A,$A19,'Week3'!$H:$H)+SUMIF('Week4'!$A:$A,$A19,'Week4'!$H:$H)</f>
        <v/>
      </c>
    </row>
    <row r="20">
      <c r="A20" s="6" t="inlineStr">
        <is>
          <t>P PANDHARIPANDE</t>
        </is>
      </c>
      <c r="B20" s="6" t="inlineStr">
        <is>
          <t>OFCE</t>
        </is>
      </c>
      <c r="C20" s="7" t="n">
        <v>660</v>
      </c>
      <c r="D20" s="7">
        <f>SUMIF('Week1'!$A:$A,$A20,'Week1'!$D:$D)+SUMIF('Week2'!$A:$A,$A20,'Week2'!$D:$D)+SUMIF('Week3'!$A:$A,$A20,'Week3'!$D:$D)+SUMIF('Week4'!$A:$A,$A20,'Week4'!$D:$D)</f>
        <v/>
      </c>
      <c r="E20" s="7">
        <f>SUMIF('Week1'!$A:$A,$A20,'Week1'!$E:$E)+SUMIF('Week2'!$A:$A,$A20,'Week2'!$E:$E)+SUMIF('Week3'!$A:$A,$A20,'Week3'!$E:$E)+SUMIF('Week4'!$A:$A,$A20,'Week4'!$E:$E)</f>
        <v/>
      </c>
      <c r="F20" s="7">
        <f>SUMIF('Week1'!$A:$A,$A20,'Week1'!$F:$F)+SUMIF('Week2'!$A:$A,$A20,'Week2'!$F:$F)+SUMIF('Week3'!$A:$A,$A20,'Week3'!$F:$F)+SUMIF('Week4'!$A:$A,$A20,'Week4'!$F:$F)</f>
        <v/>
      </c>
      <c r="G20" s="7">
        <f>SUMIF('Week1'!$A:$A,$A20,'Week1'!$G:$G)+SUMIF('Week2'!$A:$A,$A20,'Week2'!$G:$G)+SUMIF('Week3'!$A:$A,$A20,'Week3'!$G:$G)+SUMIF('Week4'!$A:$A,$A20,'Week4'!$G:$G)</f>
        <v/>
      </c>
      <c r="H20" s="7">
        <f>SUMIF('Week1'!$A:$A,$A20,'Week1'!$H:$H)+SUMIF('Week2'!$A:$A,$A20,'Week2'!$H:$H)+SUMIF('Week3'!$A:$A,$A20,'Week3'!$H:$H)+SUMIF('Week4'!$A:$A,$A20,'Week4'!$H:$H)</f>
        <v/>
      </c>
    </row>
    <row r="21">
      <c r="A21" s="6" t="inlineStr">
        <is>
          <t>A PODDER</t>
        </is>
      </c>
      <c r="B21" s="6" t="inlineStr">
        <is>
          <t>OFCE</t>
        </is>
      </c>
      <c r="C21" s="7" t="n">
        <v>754</v>
      </c>
      <c r="D21" s="7">
        <f>SUMIF('Week1'!$A:$A,$A21,'Week1'!$D:$D)+SUMIF('Week2'!$A:$A,$A21,'Week2'!$D:$D)+SUMIF('Week3'!$A:$A,$A21,'Week3'!$D:$D)+SUMIF('Week4'!$A:$A,$A21,'Week4'!$D:$D)</f>
        <v/>
      </c>
      <c r="E21" s="7">
        <f>SUMIF('Week1'!$A:$A,$A21,'Week1'!$E:$E)+SUMIF('Week2'!$A:$A,$A21,'Week2'!$E:$E)+SUMIF('Week3'!$A:$A,$A21,'Week3'!$E:$E)+SUMIF('Week4'!$A:$A,$A21,'Week4'!$E:$E)</f>
        <v/>
      </c>
      <c r="F21" s="7">
        <f>SUMIF('Week1'!$A:$A,$A21,'Week1'!$F:$F)+SUMIF('Week2'!$A:$A,$A21,'Week2'!$F:$F)+SUMIF('Week3'!$A:$A,$A21,'Week3'!$F:$F)+SUMIF('Week4'!$A:$A,$A21,'Week4'!$F:$F)</f>
        <v/>
      </c>
      <c r="G21" s="7">
        <f>SUMIF('Week1'!$A:$A,$A21,'Week1'!$G:$G)+SUMIF('Week2'!$A:$A,$A21,'Week2'!$G:$G)+SUMIF('Week3'!$A:$A,$A21,'Week3'!$G:$G)+SUMIF('Week4'!$A:$A,$A21,'Week4'!$G:$G)</f>
        <v/>
      </c>
      <c r="H21" s="7">
        <f>SUMIF('Week1'!$A:$A,$A21,'Week1'!$H:$H)+SUMIF('Week2'!$A:$A,$A21,'Week2'!$H:$H)+SUMIF('Week3'!$A:$A,$A21,'Week3'!$H:$H)+SUMIF('Week4'!$A:$A,$A21,'Week4'!$H:$H)</f>
        <v/>
      </c>
    </row>
    <row r="22">
      <c r="A22" s="6" t="inlineStr">
        <is>
          <t>G RAMESH</t>
        </is>
      </c>
      <c r="B22" s="6" t="inlineStr">
        <is>
          <t>OFCE</t>
        </is>
      </c>
      <c r="C22" s="7" t="n">
        <v>737</v>
      </c>
      <c r="D22" s="7">
        <f>SUMIF('Week1'!$A:$A,$A22,'Week1'!$D:$D)+SUMIF('Week2'!$A:$A,$A22,'Week2'!$D:$D)+SUMIF('Week3'!$A:$A,$A22,'Week3'!$D:$D)+SUMIF('Week4'!$A:$A,$A22,'Week4'!$D:$D)</f>
        <v/>
      </c>
      <c r="E22" s="7">
        <f>SUMIF('Week1'!$A:$A,$A22,'Week1'!$E:$E)+SUMIF('Week2'!$A:$A,$A22,'Week2'!$E:$E)+SUMIF('Week3'!$A:$A,$A22,'Week3'!$E:$E)+SUMIF('Week4'!$A:$A,$A22,'Week4'!$E:$E)</f>
        <v/>
      </c>
      <c r="F22" s="7">
        <f>SUMIF('Week1'!$A:$A,$A22,'Week1'!$F:$F)+SUMIF('Week2'!$A:$A,$A22,'Week2'!$F:$F)+SUMIF('Week3'!$A:$A,$A22,'Week3'!$F:$F)+SUMIF('Week4'!$A:$A,$A22,'Week4'!$F:$F)</f>
        <v/>
      </c>
      <c r="G22" s="7">
        <f>SUMIF('Week1'!$A:$A,$A22,'Week1'!$G:$G)+SUMIF('Week2'!$A:$A,$A22,'Week2'!$G:$G)+SUMIF('Week3'!$A:$A,$A22,'Week3'!$G:$G)+SUMIF('Week4'!$A:$A,$A22,'Week4'!$G:$G)</f>
        <v/>
      </c>
      <c r="H22" s="7">
        <f>SUMIF('Week1'!$A:$A,$A22,'Week1'!$H:$H)+SUMIF('Week2'!$A:$A,$A22,'Week2'!$H:$H)+SUMIF('Week3'!$A:$A,$A22,'Week3'!$H:$H)+SUMIF('Week4'!$A:$A,$A22,'Week4'!$H:$H)</f>
        <v/>
      </c>
    </row>
    <row r="23">
      <c r="A23" s="6" t="inlineStr">
        <is>
          <t>P RAMNIK</t>
        </is>
      </c>
      <c r="B23" s="6" t="inlineStr">
        <is>
          <t>OFCE</t>
        </is>
      </c>
      <c r="C23" s="7" t="n">
        <v>753</v>
      </c>
      <c r="D23" s="7">
        <f>SUMIF('Week1'!$A:$A,$A23,'Week1'!$D:$D)+SUMIF('Week2'!$A:$A,$A23,'Week2'!$D:$D)+SUMIF('Week3'!$A:$A,$A23,'Week3'!$D:$D)+SUMIF('Week4'!$A:$A,$A23,'Week4'!$D:$D)</f>
        <v/>
      </c>
      <c r="E23" s="7">
        <f>SUMIF('Week1'!$A:$A,$A23,'Week1'!$E:$E)+SUMIF('Week2'!$A:$A,$A23,'Week2'!$E:$E)+SUMIF('Week3'!$A:$A,$A23,'Week3'!$E:$E)+SUMIF('Week4'!$A:$A,$A23,'Week4'!$E:$E)</f>
        <v/>
      </c>
      <c r="F23" s="7">
        <f>SUMIF('Week1'!$A:$A,$A23,'Week1'!$F:$F)+SUMIF('Week2'!$A:$A,$A23,'Week2'!$F:$F)+SUMIF('Week3'!$A:$A,$A23,'Week3'!$F:$F)+SUMIF('Week4'!$A:$A,$A23,'Week4'!$F:$F)</f>
        <v/>
      </c>
      <c r="G23" s="7">
        <f>SUMIF('Week1'!$A:$A,$A23,'Week1'!$G:$G)+SUMIF('Week2'!$A:$A,$A23,'Week2'!$G:$G)+SUMIF('Week3'!$A:$A,$A23,'Week3'!$G:$G)+SUMIF('Week4'!$A:$A,$A23,'Week4'!$G:$G)</f>
        <v/>
      </c>
      <c r="H23" s="7">
        <f>SUMIF('Week1'!$A:$A,$A23,'Week1'!$H:$H)+SUMIF('Week2'!$A:$A,$A23,'Week2'!$H:$H)+SUMIF('Week3'!$A:$A,$A23,'Week3'!$H:$H)+SUMIF('Week4'!$A:$A,$A23,'Week4'!$H:$H)</f>
        <v/>
      </c>
    </row>
    <row r="24">
      <c r="A24" s="6" t="inlineStr">
        <is>
          <t>A RATHOD</t>
        </is>
      </c>
      <c r="B24" s="6" t="inlineStr">
        <is>
          <t>OFCE</t>
        </is>
      </c>
      <c r="C24" s="7" t="n">
        <v>369</v>
      </c>
      <c r="D24" s="7">
        <f>SUMIF('Week1'!$A:$A,$A24,'Week1'!$D:$D)+SUMIF('Week2'!$A:$A,$A24,'Week2'!$D:$D)+SUMIF('Week3'!$A:$A,$A24,'Week3'!$D:$D)+SUMIF('Week4'!$A:$A,$A24,'Week4'!$D:$D)</f>
        <v/>
      </c>
      <c r="E24" s="7">
        <f>SUMIF('Week1'!$A:$A,$A24,'Week1'!$E:$E)+SUMIF('Week2'!$A:$A,$A24,'Week2'!$E:$E)+SUMIF('Week3'!$A:$A,$A24,'Week3'!$E:$E)+SUMIF('Week4'!$A:$A,$A24,'Week4'!$E:$E)</f>
        <v/>
      </c>
      <c r="F24" s="7">
        <f>SUMIF('Week1'!$A:$A,$A24,'Week1'!$F:$F)+SUMIF('Week2'!$A:$A,$A24,'Week2'!$F:$F)+SUMIF('Week3'!$A:$A,$A24,'Week3'!$F:$F)+SUMIF('Week4'!$A:$A,$A24,'Week4'!$F:$F)</f>
        <v/>
      </c>
      <c r="G24" s="7">
        <f>SUMIF('Week1'!$A:$A,$A24,'Week1'!$G:$G)+SUMIF('Week2'!$A:$A,$A24,'Week2'!$G:$G)+SUMIF('Week3'!$A:$A,$A24,'Week3'!$G:$G)+SUMIF('Week4'!$A:$A,$A24,'Week4'!$G:$G)</f>
        <v/>
      </c>
      <c r="H24" s="7">
        <f>SUMIF('Week1'!$A:$A,$A24,'Week1'!$H:$H)+SUMIF('Week2'!$A:$A,$A24,'Week2'!$H:$H)+SUMIF('Week3'!$A:$A,$A24,'Week3'!$H:$H)+SUMIF('Week4'!$A:$A,$A24,'Week4'!$H:$H)</f>
        <v/>
      </c>
    </row>
    <row r="25">
      <c r="A25" s="6" t="inlineStr">
        <is>
          <t>K RATHOD</t>
        </is>
      </c>
      <c r="B25" s="6" t="inlineStr">
        <is>
          <t>OFCE</t>
        </is>
      </c>
      <c r="C25" s="7" t="n">
        <v>727</v>
      </c>
      <c r="D25" s="7">
        <f>SUMIF('Week1'!$A:$A,$A25,'Week1'!$D:$D)+SUMIF('Week2'!$A:$A,$A25,'Week2'!$D:$D)+SUMIF('Week3'!$A:$A,$A25,'Week3'!$D:$D)+SUMIF('Week4'!$A:$A,$A25,'Week4'!$D:$D)</f>
        <v/>
      </c>
      <c r="E25" s="7">
        <f>SUMIF('Week1'!$A:$A,$A25,'Week1'!$E:$E)+SUMIF('Week2'!$A:$A,$A25,'Week2'!$E:$E)+SUMIF('Week3'!$A:$A,$A25,'Week3'!$E:$E)+SUMIF('Week4'!$A:$A,$A25,'Week4'!$E:$E)</f>
        <v/>
      </c>
      <c r="F25" s="7">
        <f>SUMIF('Week1'!$A:$A,$A25,'Week1'!$F:$F)+SUMIF('Week2'!$A:$A,$A25,'Week2'!$F:$F)+SUMIF('Week3'!$A:$A,$A25,'Week3'!$F:$F)+SUMIF('Week4'!$A:$A,$A25,'Week4'!$F:$F)</f>
        <v/>
      </c>
      <c r="G25" s="7">
        <f>SUMIF('Week1'!$A:$A,$A25,'Week1'!$G:$G)+SUMIF('Week2'!$A:$A,$A25,'Week2'!$G:$G)+SUMIF('Week3'!$A:$A,$A25,'Week3'!$G:$G)+SUMIF('Week4'!$A:$A,$A25,'Week4'!$G:$G)</f>
        <v/>
      </c>
      <c r="H25" s="7">
        <f>SUMIF('Week1'!$A:$A,$A25,'Week1'!$H:$H)+SUMIF('Week2'!$A:$A,$A25,'Week2'!$H:$H)+SUMIF('Week3'!$A:$A,$A25,'Week3'!$H:$H)+SUMIF('Week4'!$A:$A,$A25,'Week4'!$H:$H)</f>
        <v/>
      </c>
    </row>
    <row r="26">
      <c r="A26" s="6" t="inlineStr">
        <is>
          <t>D SHAH</t>
        </is>
      </c>
      <c r="B26" s="6" t="inlineStr">
        <is>
          <t>OFCE</t>
        </is>
      </c>
      <c r="C26" s="7" t="n">
        <v>429</v>
      </c>
      <c r="D26" s="7">
        <f>SUMIF('Week1'!$A:$A,$A26,'Week1'!$D:$D)+SUMIF('Week2'!$A:$A,$A26,'Week2'!$D:$D)+SUMIF('Week3'!$A:$A,$A26,'Week3'!$D:$D)+SUMIF('Week4'!$A:$A,$A26,'Week4'!$D:$D)</f>
        <v/>
      </c>
      <c r="E26" s="7">
        <f>SUMIF('Week1'!$A:$A,$A26,'Week1'!$E:$E)+SUMIF('Week2'!$A:$A,$A26,'Week2'!$E:$E)+SUMIF('Week3'!$A:$A,$A26,'Week3'!$E:$E)+SUMIF('Week4'!$A:$A,$A26,'Week4'!$E:$E)</f>
        <v/>
      </c>
      <c r="F26" s="7">
        <f>SUMIF('Week1'!$A:$A,$A26,'Week1'!$F:$F)+SUMIF('Week2'!$A:$A,$A26,'Week2'!$F:$F)+SUMIF('Week3'!$A:$A,$A26,'Week3'!$F:$F)+SUMIF('Week4'!$A:$A,$A26,'Week4'!$F:$F)</f>
        <v/>
      </c>
      <c r="G26" s="7">
        <f>SUMIF('Week1'!$A:$A,$A26,'Week1'!$G:$G)+SUMIF('Week2'!$A:$A,$A26,'Week2'!$G:$G)+SUMIF('Week3'!$A:$A,$A26,'Week3'!$G:$G)+SUMIF('Week4'!$A:$A,$A26,'Week4'!$G:$G)</f>
        <v/>
      </c>
      <c r="H26" s="7">
        <f>SUMIF('Week1'!$A:$A,$A26,'Week1'!$H:$H)+SUMIF('Week2'!$A:$A,$A26,'Week2'!$H:$H)+SUMIF('Week3'!$A:$A,$A26,'Week3'!$H:$H)+SUMIF('Week4'!$A:$A,$A26,'Week4'!$H:$H)</f>
        <v/>
      </c>
    </row>
    <row r="27">
      <c r="A27" s="6" t="inlineStr">
        <is>
          <t>T SINGH SEHDEV</t>
        </is>
      </c>
      <c r="B27" s="6" t="inlineStr">
        <is>
          <t>OFCE</t>
        </is>
      </c>
      <c r="C27" s="7" t="n">
        <v>522</v>
      </c>
      <c r="D27" s="7">
        <f>SUMIF('Week1'!$A:$A,$A27,'Week1'!$D:$D)+SUMIF('Week2'!$A:$A,$A27,'Week2'!$D:$D)+SUMIF('Week3'!$A:$A,$A27,'Week3'!$D:$D)+SUMIF('Week4'!$A:$A,$A27,'Week4'!$D:$D)</f>
        <v/>
      </c>
      <c r="E27" s="7">
        <f>SUMIF('Week1'!$A:$A,$A27,'Week1'!$E:$E)+SUMIF('Week2'!$A:$A,$A27,'Week2'!$E:$E)+SUMIF('Week3'!$A:$A,$A27,'Week3'!$E:$E)+SUMIF('Week4'!$A:$A,$A27,'Week4'!$E:$E)</f>
        <v/>
      </c>
      <c r="F27" s="7">
        <f>SUMIF('Week1'!$A:$A,$A27,'Week1'!$F:$F)+SUMIF('Week2'!$A:$A,$A27,'Week2'!$F:$F)+SUMIF('Week3'!$A:$A,$A27,'Week3'!$F:$F)+SUMIF('Week4'!$A:$A,$A27,'Week4'!$F:$F)</f>
        <v/>
      </c>
      <c r="G27" s="7">
        <f>SUMIF('Week1'!$A:$A,$A27,'Week1'!$G:$G)+SUMIF('Week2'!$A:$A,$A27,'Week2'!$G:$G)+SUMIF('Week3'!$A:$A,$A27,'Week3'!$G:$G)+SUMIF('Week4'!$A:$A,$A27,'Week4'!$G:$G)</f>
        <v/>
      </c>
      <c r="H27" s="7">
        <f>SUMIF('Week1'!$A:$A,$A27,'Week1'!$H:$H)+SUMIF('Week2'!$A:$A,$A27,'Week2'!$H:$H)+SUMIF('Week3'!$A:$A,$A27,'Week3'!$H:$H)+SUMIF('Week4'!$A:$A,$A27,'Week4'!$H:$H)</f>
        <v/>
      </c>
    </row>
    <row r="28">
      <c r="A28" s="6" t="inlineStr">
        <is>
          <t>B VANZA</t>
        </is>
      </c>
      <c r="B28" s="6" t="inlineStr">
        <is>
          <t>OFCE</t>
        </is>
      </c>
      <c r="C28" s="7" t="n">
        <v>161</v>
      </c>
      <c r="D28" s="7">
        <f>SUMIF('Week1'!$A:$A,$A28,'Week1'!$D:$D)+SUMIF('Week2'!$A:$A,$A28,'Week2'!$D:$D)+SUMIF('Week3'!$A:$A,$A28,'Week3'!$D:$D)+SUMIF('Week4'!$A:$A,$A28,'Week4'!$D:$D)</f>
        <v/>
      </c>
      <c r="E28" s="7">
        <f>SUMIF('Week1'!$A:$A,$A28,'Week1'!$E:$E)+SUMIF('Week2'!$A:$A,$A28,'Week2'!$E:$E)+SUMIF('Week3'!$A:$A,$A28,'Week3'!$E:$E)+SUMIF('Week4'!$A:$A,$A28,'Week4'!$E:$E)</f>
        <v/>
      </c>
      <c r="F28" s="7">
        <f>SUMIF('Week1'!$A:$A,$A28,'Week1'!$F:$F)+SUMIF('Week2'!$A:$A,$A28,'Week2'!$F:$F)+SUMIF('Week3'!$A:$A,$A28,'Week3'!$F:$F)+SUMIF('Week4'!$A:$A,$A28,'Week4'!$F:$F)</f>
        <v/>
      </c>
      <c r="G28" s="7">
        <f>SUMIF('Week1'!$A:$A,$A28,'Week1'!$G:$G)+SUMIF('Week2'!$A:$A,$A28,'Week2'!$G:$G)+SUMIF('Week3'!$A:$A,$A28,'Week3'!$G:$G)+SUMIF('Week4'!$A:$A,$A28,'Week4'!$G:$G)</f>
        <v/>
      </c>
      <c r="H28" s="7">
        <f>SUMIF('Week1'!$A:$A,$A28,'Week1'!$H:$H)+SUMIF('Week2'!$A:$A,$A28,'Week2'!$H:$H)+SUMIF('Week3'!$A:$A,$A28,'Week3'!$H:$H)+SUMIF('Week4'!$A:$A,$A28,'Week4'!$H:$H)</f>
        <v/>
      </c>
    </row>
    <row r="29">
      <c r="A29" s="6" t="inlineStr">
        <is>
          <t>A BHARATBHAI VASANI</t>
        </is>
      </c>
      <c r="B29" s="6" t="inlineStr">
        <is>
          <t>PKNG HIGH_RISK</t>
        </is>
      </c>
      <c r="C29" s="7" t="n">
        <v>707</v>
      </c>
      <c r="D29" s="7">
        <f>SUMIF('Week1'!$A:$A,$A29,'Week1'!$D:$D)+SUMIF('Week2'!$A:$A,$A29,'Week2'!$D:$D)+SUMIF('Week3'!$A:$A,$A29,'Week3'!$D:$D)+SUMIF('Week4'!$A:$A,$A29,'Week4'!$D:$D)</f>
        <v/>
      </c>
      <c r="E29" s="7">
        <f>SUMIF('Week1'!$A:$A,$A29,'Week1'!$E:$E)+SUMIF('Week2'!$A:$A,$A29,'Week2'!$E:$E)+SUMIF('Week3'!$A:$A,$A29,'Week3'!$E:$E)+SUMIF('Week4'!$A:$A,$A29,'Week4'!$E:$E)</f>
        <v/>
      </c>
      <c r="F29" s="7">
        <f>SUMIF('Week1'!$A:$A,$A29,'Week1'!$F:$F)+SUMIF('Week2'!$A:$A,$A29,'Week2'!$F:$F)+SUMIF('Week3'!$A:$A,$A29,'Week3'!$F:$F)+SUMIF('Week4'!$A:$A,$A29,'Week4'!$F:$F)</f>
        <v/>
      </c>
      <c r="G29" s="7">
        <f>SUMIF('Week1'!$A:$A,$A29,'Week1'!$G:$G)+SUMIF('Week2'!$A:$A,$A29,'Week2'!$G:$G)+SUMIF('Week3'!$A:$A,$A29,'Week3'!$G:$G)+SUMIF('Week4'!$A:$A,$A29,'Week4'!$G:$G)</f>
        <v/>
      </c>
      <c r="H29" s="7">
        <f>SUMIF('Week1'!$A:$A,$A29,'Week1'!$H:$H)+SUMIF('Week2'!$A:$A,$A29,'Week2'!$H:$H)+SUMIF('Week3'!$A:$A,$A29,'Week3'!$H:$H)+SUMIF('Week4'!$A:$A,$A29,'Week4'!$H:$H)</f>
        <v/>
      </c>
    </row>
    <row r="30">
      <c r="A30" s="6" t="inlineStr">
        <is>
          <t>R DA SILVA</t>
        </is>
      </c>
      <c r="B30" s="6" t="inlineStr">
        <is>
          <t>PKNG HIGH_RISK</t>
        </is>
      </c>
      <c r="C30" s="7" t="n">
        <v>713</v>
      </c>
      <c r="D30" s="7">
        <f>SUMIF('Week1'!$A:$A,$A30,'Week1'!$D:$D)+SUMIF('Week2'!$A:$A,$A30,'Week2'!$D:$D)+SUMIF('Week3'!$A:$A,$A30,'Week3'!$D:$D)+SUMIF('Week4'!$A:$A,$A30,'Week4'!$D:$D)</f>
        <v/>
      </c>
      <c r="E30" s="7">
        <f>SUMIF('Week1'!$A:$A,$A30,'Week1'!$E:$E)+SUMIF('Week2'!$A:$A,$A30,'Week2'!$E:$E)+SUMIF('Week3'!$A:$A,$A30,'Week3'!$E:$E)+SUMIF('Week4'!$A:$A,$A30,'Week4'!$E:$E)</f>
        <v/>
      </c>
      <c r="F30" s="7">
        <f>SUMIF('Week1'!$A:$A,$A30,'Week1'!$F:$F)+SUMIF('Week2'!$A:$A,$A30,'Week2'!$F:$F)+SUMIF('Week3'!$A:$A,$A30,'Week3'!$F:$F)+SUMIF('Week4'!$A:$A,$A30,'Week4'!$F:$F)</f>
        <v/>
      </c>
      <c r="G30" s="7">
        <f>SUMIF('Week1'!$A:$A,$A30,'Week1'!$G:$G)+SUMIF('Week2'!$A:$A,$A30,'Week2'!$G:$G)+SUMIF('Week3'!$A:$A,$A30,'Week3'!$G:$G)+SUMIF('Week4'!$A:$A,$A30,'Week4'!$G:$G)</f>
        <v/>
      </c>
      <c r="H30" s="7">
        <f>SUMIF('Week1'!$A:$A,$A30,'Week1'!$H:$H)+SUMIF('Week2'!$A:$A,$A30,'Week2'!$H:$H)+SUMIF('Week3'!$A:$A,$A30,'Week3'!$H:$H)+SUMIF('Week4'!$A:$A,$A30,'Week4'!$H:$H)</f>
        <v/>
      </c>
    </row>
    <row r="31">
      <c r="A31" s="6" t="inlineStr">
        <is>
          <t>F DHANGAR</t>
        </is>
      </c>
      <c r="B31" s="6" t="inlineStr">
        <is>
          <t>PKNG HIGH_RISK</t>
        </is>
      </c>
      <c r="C31" s="7" t="n">
        <v>637</v>
      </c>
      <c r="D31" s="7">
        <f>SUMIF('Week1'!$A:$A,$A31,'Week1'!$D:$D)+SUMIF('Week2'!$A:$A,$A31,'Week2'!$D:$D)+SUMIF('Week3'!$A:$A,$A31,'Week3'!$D:$D)+SUMIF('Week4'!$A:$A,$A31,'Week4'!$D:$D)</f>
        <v/>
      </c>
      <c r="E31" s="7">
        <f>SUMIF('Week1'!$A:$A,$A31,'Week1'!$E:$E)+SUMIF('Week2'!$A:$A,$A31,'Week2'!$E:$E)+SUMIF('Week3'!$A:$A,$A31,'Week3'!$E:$E)+SUMIF('Week4'!$A:$A,$A31,'Week4'!$E:$E)</f>
        <v/>
      </c>
      <c r="F31" s="7">
        <f>SUMIF('Week1'!$A:$A,$A31,'Week1'!$F:$F)+SUMIF('Week2'!$A:$A,$A31,'Week2'!$F:$F)+SUMIF('Week3'!$A:$A,$A31,'Week3'!$F:$F)+SUMIF('Week4'!$A:$A,$A31,'Week4'!$F:$F)</f>
        <v/>
      </c>
      <c r="G31" s="7">
        <f>SUMIF('Week1'!$A:$A,$A31,'Week1'!$G:$G)+SUMIF('Week2'!$A:$A,$A31,'Week2'!$G:$G)+SUMIF('Week3'!$A:$A,$A31,'Week3'!$G:$G)+SUMIF('Week4'!$A:$A,$A31,'Week4'!$G:$G)</f>
        <v/>
      </c>
      <c r="H31" s="7">
        <f>SUMIF('Week1'!$A:$A,$A31,'Week1'!$H:$H)+SUMIF('Week2'!$A:$A,$A31,'Week2'!$H:$H)+SUMIF('Week3'!$A:$A,$A31,'Week3'!$H:$H)+SUMIF('Week4'!$A:$A,$A31,'Week4'!$H:$H)</f>
        <v/>
      </c>
    </row>
    <row r="32">
      <c r="A32" s="6" t="inlineStr">
        <is>
          <t>D DIVYA</t>
        </is>
      </c>
      <c r="B32" s="6" t="inlineStr">
        <is>
          <t>PKNG HIGH_RISK</t>
        </is>
      </c>
      <c r="C32" s="7" t="n">
        <v>734</v>
      </c>
      <c r="D32" s="7">
        <f>SUMIF('Week1'!$A:$A,$A32,'Week1'!$D:$D)+SUMIF('Week2'!$A:$A,$A32,'Week2'!$D:$D)+SUMIF('Week3'!$A:$A,$A32,'Week3'!$D:$D)+SUMIF('Week4'!$A:$A,$A32,'Week4'!$D:$D)</f>
        <v/>
      </c>
      <c r="E32" s="7">
        <f>SUMIF('Week1'!$A:$A,$A32,'Week1'!$E:$E)+SUMIF('Week2'!$A:$A,$A32,'Week2'!$E:$E)+SUMIF('Week3'!$A:$A,$A32,'Week3'!$E:$E)+SUMIF('Week4'!$A:$A,$A32,'Week4'!$E:$E)</f>
        <v/>
      </c>
      <c r="F32" s="7">
        <f>SUMIF('Week1'!$A:$A,$A32,'Week1'!$F:$F)+SUMIF('Week2'!$A:$A,$A32,'Week2'!$F:$F)+SUMIF('Week3'!$A:$A,$A32,'Week3'!$F:$F)+SUMIF('Week4'!$A:$A,$A32,'Week4'!$F:$F)</f>
        <v/>
      </c>
      <c r="G32" s="7">
        <f>SUMIF('Week1'!$A:$A,$A32,'Week1'!$G:$G)+SUMIF('Week2'!$A:$A,$A32,'Week2'!$G:$G)+SUMIF('Week3'!$A:$A,$A32,'Week3'!$G:$G)+SUMIF('Week4'!$A:$A,$A32,'Week4'!$G:$G)</f>
        <v/>
      </c>
      <c r="H32" s="7">
        <f>SUMIF('Week1'!$A:$A,$A32,'Week1'!$H:$H)+SUMIF('Week2'!$A:$A,$A32,'Week2'!$H:$H)+SUMIF('Week3'!$A:$A,$A32,'Week3'!$H:$H)+SUMIF('Week4'!$A:$A,$A32,'Week4'!$H:$H)</f>
        <v/>
      </c>
    </row>
    <row r="33">
      <c r="A33" s="6" t="inlineStr">
        <is>
          <t>A KRANYIK</t>
        </is>
      </c>
      <c r="B33" s="6" t="inlineStr">
        <is>
          <t>PKNG HIGH_RISK</t>
        </is>
      </c>
      <c r="C33" s="7" t="n">
        <v>320</v>
      </c>
      <c r="D33" s="7">
        <f>SUMIF('Week1'!$A:$A,$A33,'Week1'!$D:$D)+SUMIF('Week2'!$A:$A,$A33,'Week2'!$D:$D)+SUMIF('Week3'!$A:$A,$A33,'Week3'!$D:$D)+SUMIF('Week4'!$A:$A,$A33,'Week4'!$D:$D)</f>
        <v/>
      </c>
      <c r="E33" s="7">
        <f>SUMIF('Week1'!$A:$A,$A33,'Week1'!$E:$E)+SUMIF('Week2'!$A:$A,$A33,'Week2'!$E:$E)+SUMIF('Week3'!$A:$A,$A33,'Week3'!$E:$E)+SUMIF('Week4'!$A:$A,$A33,'Week4'!$E:$E)</f>
        <v/>
      </c>
      <c r="F33" s="7">
        <f>SUMIF('Week1'!$A:$A,$A33,'Week1'!$F:$F)+SUMIF('Week2'!$A:$A,$A33,'Week2'!$F:$F)+SUMIF('Week3'!$A:$A,$A33,'Week3'!$F:$F)+SUMIF('Week4'!$A:$A,$A33,'Week4'!$F:$F)</f>
        <v/>
      </c>
      <c r="G33" s="7">
        <f>SUMIF('Week1'!$A:$A,$A33,'Week1'!$G:$G)+SUMIF('Week2'!$A:$A,$A33,'Week2'!$G:$G)+SUMIF('Week3'!$A:$A,$A33,'Week3'!$G:$G)+SUMIF('Week4'!$A:$A,$A33,'Week4'!$G:$G)</f>
        <v/>
      </c>
      <c r="H33" s="7">
        <f>SUMIF('Week1'!$A:$A,$A33,'Week1'!$H:$H)+SUMIF('Week2'!$A:$A,$A33,'Week2'!$H:$H)+SUMIF('Week3'!$A:$A,$A33,'Week3'!$H:$H)+SUMIF('Week4'!$A:$A,$A33,'Week4'!$H:$H)</f>
        <v/>
      </c>
    </row>
    <row r="34">
      <c r="A34" s="6" t="inlineStr">
        <is>
          <t>A MAENCAR</t>
        </is>
      </c>
      <c r="B34" s="6" t="inlineStr">
        <is>
          <t>PKNG HIGH_RISK</t>
        </is>
      </c>
      <c r="C34" s="7" t="n">
        <v>445</v>
      </c>
      <c r="D34" s="7">
        <f>SUMIF('Week1'!$A:$A,$A34,'Week1'!$D:$D)+SUMIF('Week2'!$A:$A,$A34,'Week2'!$D:$D)+SUMIF('Week3'!$A:$A,$A34,'Week3'!$D:$D)+SUMIF('Week4'!$A:$A,$A34,'Week4'!$D:$D)</f>
        <v/>
      </c>
      <c r="E34" s="7">
        <f>SUMIF('Week1'!$A:$A,$A34,'Week1'!$E:$E)+SUMIF('Week2'!$A:$A,$A34,'Week2'!$E:$E)+SUMIF('Week3'!$A:$A,$A34,'Week3'!$E:$E)+SUMIF('Week4'!$A:$A,$A34,'Week4'!$E:$E)</f>
        <v/>
      </c>
      <c r="F34" s="7">
        <f>SUMIF('Week1'!$A:$A,$A34,'Week1'!$F:$F)+SUMIF('Week2'!$A:$A,$A34,'Week2'!$F:$F)+SUMIF('Week3'!$A:$A,$A34,'Week3'!$F:$F)+SUMIF('Week4'!$A:$A,$A34,'Week4'!$F:$F)</f>
        <v/>
      </c>
      <c r="G34" s="7">
        <f>SUMIF('Week1'!$A:$A,$A34,'Week1'!$G:$G)+SUMIF('Week2'!$A:$A,$A34,'Week2'!$G:$G)+SUMIF('Week3'!$A:$A,$A34,'Week3'!$G:$G)+SUMIF('Week4'!$A:$A,$A34,'Week4'!$G:$G)</f>
        <v/>
      </c>
      <c r="H34" s="7">
        <f>SUMIF('Week1'!$A:$A,$A34,'Week1'!$H:$H)+SUMIF('Week2'!$A:$A,$A34,'Week2'!$H:$H)+SUMIF('Week3'!$A:$A,$A34,'Week3'!$H:$H)+SUMIF('Week4'!$A:$A,$A34,'Week4'!$H:$H)</f>
        <v/>
      </c>
    </row>
    <row r="35">
      <c r="A35" s="6" t="inlineStr">
        <is>
          <t>S PERUMAL MURTHI</t>
        </is>
      </c>
      <c r="B35" s="6" t="inlineStr">
        <is>
          <t>PKNG HIGH_RISK</t>
        </is>
      </c>
      <c r="C35" s="7" t="n">
        <v>751</v>
      </c>
      <c r="D35" s="7">
        <f>SUMIF('Week1'!$A:$A,$A35,'Week1'!$D:$D)+SUMIF('Week2'!$A:$A,$A35,'Week2'!$D:$D)+SUMIF('Week3'!$A:$A,$A35,'Week3'!$D:$D)+SUMIF('Week4'!$A:$A,$A35,'Week4'!$D:$D)</f>
        <v/>
      </c>
      <c r="E35" s="7">
        <f>SUMIF('Week1'!$A:$A,$A35,'Week1'!$E:$E)+SUMIF('Week2'!$A:$A,$A35,'Week2'!$E:$E)+SUMIF('Week3'!$A:$A,$A35,'Week3'!$E:$E)+SUMIF('Week4'!$A:$A,$A35,'Week4'!$E:$E)</f>
        <v/>
      </c>
      <c r="F35" s="7">
        <f>SUMIF('Week1'!$A:$A,$A35,'Week1'!$F:$F)+SUMIF('Week2'!$A:$A,$A35,'Week2'!$F:$F)+SUMIF('Week3'!$A:$A,$A35,'Week3'!$F:$F)+SUMIF('Week4'!$A:$A,$A35,'Week4'!$F:$F)</f>
        <v/>
      </c>
      <c r="G35" s="7">
        <f>SUMIF('Week1'!$A:$A,$A35,'Week1'!$G:$G)+SUMIF('Week2'!$A:$A,$A35,'Week2'!$G:$G)+SUMIF('Week3'!$A:$A,$A35,'Week3'!$G:$G)+SUMIF('Week4'!$A:$A,$A35,'Week4'!$G:$G)</f>
        <v/>
      </c>
      <c r="H35" s="7">
        <f>SUMIF('Week1'!$A:$A,$A35,'Week1'!$H:$H)+SUMIF('Week2'!$A:$A,$A35,'Week2'!$H:$H)+SUMIF('Week3'!$A:$A,$A35,'Week3'!$H:$H)+SUMIF('Week4'!$A:$A,$A35,'Week4'!$H:$H)</f>
        <v/>
      </c>
    </row>
    <row r="36">
      <c r="A36" s="6" t="inlineStr">
        <is>
          <t>N SOMA</t>
        </is>
      </c>
      <c r="B36" s="6" t="inlineStr">
        <is>
          <t>PKNG HIGH_RISK</t>
        </is>
      </c>
      <c r="C36" s="7" t="n">
        <v>724</v>
      </c>
      <c r="D36" s="7">
        <f>SUMIF('Week1'!$A:$A,$A36,'Week1'!$D:$D)+SUMIF('Week2'!$A:$A,$A36,'Week2'!$D:$D)+SUMIF('Week3'!$A:$A,$A36,'Week3'!$D:$D)+SUMIF('Week4'!$A:$A,$A36,'Week4'!$D:$D)</f>
        <v/>
      </c>
      <c r="E36" s="7">
        <f>SUMIF('Week1'!$A:$A,$A36,'Week1'!$E:$E)+SUMIF('Week2'!$A:$A,$A36,'Week2'!$E:$E)+SUMIF('Week3'!$A:$A,$A36,'Week3'!$E:$E)+SUMIF('Week4'!$A:$A,$A36,'Week4'!$E:$E)</f>
        <v/>
      </c>
      <c r="F36" s="7">
        <f>SUMIF('Week1'!$A:$A,$A36,'Week1'!$F:$F)+SUMIF('Week2'!$A:$A,$A36,'Week2'!$F:$F)+SUMIF('Week3'!$A:$A,$A36,'Week3'!$F:$F)+SUMIF('Week4'!$A:$A,$A36,'Week4'!$F:$F)</f>
        <v/>
      </c>
      <c r="G36" s="7">
        <f>SUMIF('Week1'!$A:$A,$A36,'Week1'!$G:$G)+SUMIF('Week2'!$A:$A,$A36,'Week2'!$G:$G)+SUMIF('Week3'!$A:$A,$A36,'Week3'!$G:$G)+SUMIF('Week4'!$A:$A,$A36,'Week4'!$G:$G)</f>
        <v/>
      </c>
      <c r="H36" s="7">
        <f>SUMIF('Week1'!$A:$A,$A36,'Week1'!$H:$H)+SUMIF('Week2'!$A:$A,$A36,'Week2'!$H:$H)+SUMIF('Week3'!$A:$A,$A36,'Week3'!$H:$H)+SUMIF('Week4'!$A:$A,$A36,'Week4'!$H:$H)</f>
        <v/>
      </c>
    </row>
    <row r="37">
      <c r="A37" s="6" t="inlineStr">
        <is>
          <t>R SUREXA NAIQUE</t>
        </is>
      </c>
      <c r="B37" s="6" t="inlineStr">
        <is>
          <t>PKNG HIGH_RISK</t>
        </is>
      </c>
      <c r="C37" s="7" t="n">
        <v>714</v>
      </c>
      <c r="D37" s="7">
        <f>SUMIF('Week1'!$A:$A,$A37,'Week1'!$D:$D)+SUMIF('Week2'!$A:$A,$A37,'Week2'!$D:$D)+SUMIF('Week3'!$A:$A,$A37,'Week3'!$D:$D)+SUMIF('Week4'!$A:$A,$A37,'Week4'!$D:$D)</f>
        <v/>
      </c>
      <c r="E37" s="7">
        <f>SUMIF('Week1'!$A:$A,$A37,'Week1'!$E:$E)+SUMIF('Week2'!$A:$A,$A37,'Week2'!$E:$E)+SUMIF('Week3'!$A:$A,$A37,'Week3'!$E:$E)+SUMIF('Week4'!$A:$A,$A37,'Week4'!$E:$E)</f>
        <v/>
      </c>
      <c r="F37" s="7">
        <f>SUMIF('Week1'!$A:$A,$A37,'Week1'!$F:$F)+SUMIF('Week2'!$A:$A,$A37,'Week2'!$F:$F)+SUMIF('Week3'!$A:$A,$A37,'Week3'!$F:$F)+SUMIF('Week4'!$A:$A,$A37,'Week4'!$F:$F)</f>
        <v/>
      </c>
      <c r="G37" s="7">
        <f>SUMIF('Week1'!$A:$A,$A37,'Week1'!$G:$G)+SUMIF('Week2'!$A:$A,$A37,'Week2'!$G:$G)+SUMIF('Week3'!$A:$A,$A37,'Week3'!$G:$G)+SUMIF('Week4'!$A:$A,$A37,'Week4'!$G:$G)</f>
        <v/>
      </c>
      <c r="H37" s="7">
        <f>SUMIF('Week1'!$A:$A,$A37,'Week1'!$H:$H)+SUMIF('Week2'!$A:$A,$A37,'Week2'!$H:$H)+SUMIF('Week3'!$A:$A,$A37,'Week3'!$H:$H)+SUMIF('Week4'!$A:$A,$A37,'Week4'!$H:$H)</f>
        <v/>
      </c>
    </row>
    <row r="38">
      <c r="A38" s="6" t="inlineStr">
        <is>
          <t>L XAVERINA LOPES</t>
        </is>
      </c>
      <c r="B38" s="6" t="inlineStr">
        <is>
          <t>PKNG HIGH_RISK</t>
        </is>
      </c>
      <c r="C38" s="7" t="n">
        <v>726</v>
      </c>
      <c r="D38" s="7">
        <f>SUMIF('Week1'!$A:$A,$A38,'Week1'!$D:$D)+SUMIF('Week2'!$A:$A,$A38,'Week2'!$D:$D)+SUMIF('Week3'!$A:$A,$A38,'Week3'!$D:$D)+SUMIF('Week4'!$A:$A,$A38,'Week4'!$D:$D)</f>
        <v/>
      </c>
      <c r="E38" s="7">
        <f>SUMIF('Week1'!$A:$A,$A38,'Week1'!$E:$E)+SUMIF('Week2'!$A:$A,$A38,'Week2'!$E:$E)+SUMIF('Week3'!$A:$A,$A38,'Week3'!$E:$E)+SUMIF('Week4'!$A:$A,$A38,'Week4'!$E:$E)</f>
        <v/>
      </c>
      <c r="F38" s="7">
        <f>SUMIF('Week1'!$A:$A,$A38,'Week1'!$F:$F)+SUMIF('Week2'!$A:$A,$A38,'Week2'!$F:$F)+SUMIF('Week3'!$A:$A,$A38,'Week3'!$F:$F)+SUMIF('Week4'!$A:$A,$A38,'Week4'!$F:$F)</f>
        <v/>
      </c>
      <c r="G38" s="7">
        <f>SUMIF('Week1'!$A:$A,$A38,'Week1'!$G:$G)+SUMIF('Week2'!$A:$A,$A38,'Week2'!$G:$G)+SUMIF('Week3'!$A:$A,$A38,'Week3'!$G:$G)+SUMIF('Week4'!$A:$A,$A38,'Week4'!$G:$G)</f>
        <v/>
      </c>
      <c r="H38" s="7">
        <f>SUMIF('Week1'!$A:$A,$A38,'Week1'!$H:$H)+SUMIF('Week2'!$A:$A,$A38,'Week2'!$H:$H)+SUMIF('Week3'!$A:$A,$A38,'Week3'!$H:$H)+SUMIF('Week4'!$A:$A,$A38,'Week4'!$H:$H)</f>
        <v/>
      </c>
    </row>
    <row r="39">
      <c r="A39" s="6" t="inlineStr">
        <is>
          <t>R BAGOANE</t>
        </is>
      </c>
      <c r="B39" s="6" t="inlineStr">
        <is>
          <t>PKNG SLEEVING</t>
        </is>
      </c>
      <c r="C39" s="7" t="n">
        <v>254</v>
      </c>
      <c r="D39" s="7">
        <f>SUMIF('Week1'!$A:$A,$A39,'Week1'!$D:$D)+SUMIF('Week2'!$A:$A,$A39,'Week2'!$D:$D)+SUMIF('Week3'!$A:$A,$A39,'Week3'!$D:$D)+SUMIF('Week4'!$A:$A,$A39,'Week4'!$D:$D)</f>
        <v/>
      </c>
      <c r="E39" s="7">
        <f>SUMIF('Week1'!$A:$A,$A39,'Week1'!$E:$E)+SUMIF('Week2'!$A:$A,$A39,'Week2'!$E:$E)+SUMIF('Week3'!$A:$A,$A39,'Week3'!$E:$E)+SUMIF('Week4'!$A:$A,$A39,'Week4'!$E:$E)</f>
        <v/>
      </c>
      <c r="F39" s="7">
        <f>SUMIF('Week1'!$A:$A,$A39,'Week1'!$F:$F)+SUMIF('Week2'!$A:$A,$A39,'Week2'!$F:$F)+SUMIF('Week3'!$A:$A,$A39,'Week3'!$F:$F)+SUMIF('Week4'!$A:$A,$A39,'Week4'!$F:$F)</f>
        <v/>
      </c>
      <c r="G39" s="7">
        <f>SUMIF('Week1'!$A:$A,$A39,'Week1'!$G:$G)+SUMIF('Week2'!$A:$A,$A39,'Week2'!$G:$G)+SUMIF('Week3'!$A:$A,$A39,'Week3'!$G:$G)+SUMIF('Week4'!$A:$A,$A39,'Week4'!$G:$G)</f>
        <v/>
      </c>
      <c r="H39" s="7">
        <f>SUMIF('Week1'!$A:$A,$A39,'Week1'!$H:$H)+SUMIF('Week2'!$A:$A,$A39,'Week2'!$H:$H)+SUMIF('Week3'!$A:$A,$A39,'Week3'!$H:$H)+SUMIF('Week4'!$A:$A,$A39,'Week4'!$H:$H)</f>
        <v/>
      </c>
    </row>
    <row r="40">
      <c r="A40" s="6" t="inlineStr">
        <is>
          <t>K CALA</t>
        </is>
      </c>
      <c r="B40" s="6" t="inlineStr">
        <is>
          <t>PKNG SLEEVING</t>
        </is>
      </c>
      <c r="C40" s="7" t="n">
        <v>392</v>
      </c>
      <c r="D40" s="7">
        <f>SUMIF('Week1'!$A:$A,$A40,'Week1'!$D:$D)+SUMIF('Week2'!$A:$A,$A40,'Week2'!$D:$D)+SUMIF('Week3'!$A:$A,$A40,'Week3'!$D:$D)+SUMIF('Week4'!$A:$A,$A40,'Week4'!$D:$D)</f>
        <v/>
      </c>
      <c r="E40" s="7">
        <f>SUMIF('Week1'!$A:$A,$A40,'Week1'!$E:$E)+SUMIF('Week2'!$A:$A,$A40,'Week2'!$E:$E)+SUMIF('Week3'!$A:$A,$A40,'Week3'!$E:$E)+SUMIF('Week4'!$A:$A,$A40,'Week4'!$E:$E)</f>
        <v/>
      </c>
      <c r="F40" s="7">
        <f>SUMIF('Week1'!$A:$A,$A40,'Week1'!$F:$F)+SUMIF('Week2'!$A:$A,$A40,'Week2'!$F:$F)+SUMIF('Week3'!$A:$A,$A40,'Week3'!$F:$F)+SUMIF('Week4'!$A:$A,$A40,'Week4'!$F:$F)</f>
        <v/>
      </c>
      <c r="G40" s="7">
        <f>SUMIF('Week1'!$A:$A,$A40,'Week1'!$G:$G)+SUMIF('Week2'!$A:$A,$A40,'Week2'!$G:$G)+SUMIF('Week3'!$A:$A,$A40,'Week3'!$G:$G)+SUMIF('Week4'!$A:$A,$A40,'Week4'!$G:$G)</f>
        <v/>
      </c>
      <c r="H40" s="7">
        <f>SUMIF('Week1'!$A:$A,$A40,'Week1'!$H:$H)+SUMIF('Week2'!$A:$A,$A40,'Week2'!$H:$H)+SUMIF('Week3'!$A:$A,$A40,'Week3'!$H:$H)+SUMIF('Week4'!$A:$A,$A40,'Week4'!$H:$H)</f>
        <v/>
      </c>
    </row>
    <row r="41">
      <c r="A41" s="6" t="inlineStr">
        <is>
          <t>T CANGI</t>
        </is>
      </c>
      <c r="B41" s="6" t="inlineStr">
        <is>
          <t>PKNG SLEEVING</t>
        </is>
      </c>
      <c r="C41" s="7" t="n">
        <v>687</v>
      </c>
      <c r="D41" s="7">
        <f>SUMIF('Week1'!$A:$A,$A41,'Week1'!$D:$D)+SUMIF('Week2'!$A:$A,$A41,'Week2'!$D:$D)+SUMIF('Week3'!$A:$A,$A41,'Week3'!$D:$D)+SUMIF('Week4'!$A:$A,$A41,'Week4'!$D:$D)</f>
        <v/>
      </c>
      <c r="E41" s="7">
        <f>SUMIF('Week1'!$A:$A,$A41,'Week1'!$E:$E)+SUMIF('Week2'!$A:$A,$A41,'Week2'!$E:$E)+SUMIF('Week3'!$A:$A,$A41,'Week3'!$E:$E)+SUMIF('Week4'!$A:$A,$A41,'Week4'!$E:$E)</f>
        <v/>
      </c>
      <c r="F41" s="7">
        <f>SUMIF('Week1'!$A:$A,$A41,'Week1'!$F:$F)+SUMIF('Week2'!$A:$A,$A41,'Week2'!$F:$F)+SUMIF('Week3'!$A:$A,$A41,'Week3'!$F:$F)+SUMIF('Week4'!$A:$A,$A41,'Week4'!$F:$F)</f>
        <v/>
      </c>
      <c r="G41" s="7">
        <f>SUMIF('Week1'!$A:$A,$A41,'Week1'!$G:$G)+SUMIF('Week2'!$A:$A,$A41,'Week2'!$G:$G)+SUMIF('Week3'!$A:$A,$A41,'Week3'!$G:$G)+SUMIF('Week4'!$A:$A,$A41,'Week4'!$G:$G)</f>
        <v/>
      </c>
      <c r="H41" s="7">
        <f>SUMIF('Week1'!$A:$A,$A41,'Week1'!$H:$H)+SUMIF('Week2'!$A:$A,$A41,'Week2'!$H:$H)+SUMIF('Week3'!$A:$A,$A41,'Week3'!$H:$H)+SUMIF('Week4'!$A:$A,$A41,'Week4'!$H:$H)</f>
        <v/>
      </c>
    </row>
    <row r="42">
      <c r="A42" s="6" t="inlineStr">
        <is>
          <t>J CARSANE</t>
        </is>
      </c>
      <c r="B42" s="6" t="inlineStr">
        <is>
          <t>PKNG SLEEVING</t>
        </is>
      </c>
      <c r="C42" s="7" t="n">
        <v>669</v>
      </c>
      <c r="D42" s="7">
        <f>SUMIF('Week1'!$A:$A,$A42,'Week1'!$D:$D)+SUMIF('Week2'!$A:$A,$A42,'Week2'!$D:$D)+SUMIF('Week3'!$A:$A,$A42,'Week3'!$D:$D)+SUMIF('Week4'!$A:$A,$A42,'Week4'!$D:$D)</f>
        <v/>
      </c>
      <c r="E42" s="7">
        <f>SUMIF('Week1'!$A:$A,$A42,'Week1'!$E:$E)+SUMIF('Week2'!$A:$A,$A42,'Week2'!$E:$E)+SUMIF('Week3'!$A:$A,$A42,'Week3'!$E:$E)+SUMIF('Week4'!$A:$A,$A42,'Week4'!$E:$E)</f>
        <v/>
      </c>
      <c r="F42" s="7">
        <f>SUMIF('Week1'!$A:$A,$A42,'Week1'!$F:$F)+SUMIF('Week2'!$A:$A,$A42,'Week2'!$F:$F)+SUMIF('Week3'!$A:$A,$A42,'Week3'!$F:$F)+SUMIF('Week4'!$A:$A,$A42,'Week4'!$F:$F)</f>
        <v/>
      </c>
      <c r="G42" s="7">
        <f>SUMIF('Week1'!$A:$A,$A42,'Week1'!$G:$G)+SUMIF('Week2'!$A:$A,$A42,'Week2'!$G:$G)+SUMIF('Week3'!$A:$A,$A42,'Week3'!$G:$G)+SUMIF('Week4'!$A:$A,$A42,'Week4'!$G:$G)</f>
        <v/>
      </c>
      <c r="H42" s="7">
        <f>SUMIF('Week1'!$A:$A,$A42,'Week1'!$H:$H)+SUMIF('Week2'!$A:$A,$A42,'Week2'!$H:$H)+SUMIF('Week3'!$A:$A,$A42,'Week3'!$H:$H)+SUMIF('Week4'!$A:$A,$A42,'Week4'!$H:$H)</f>
        <v/>
      </c>
    </row>
    <row r="43">
      <c r="A43" s="6" t="inlineStr">
        <is>
          <t>S DIAS</t>
        </is>
      </c>
      <c r="B43" s="6" t="inlineStr">
        <is>
          <t>PKNG SLEEVING</t>
        </is>
      </c>
      <c r="C43" s="7" t="n">
        <v>730</v>
      </c>
      <c r="D43" s="7">
        <f>SUMIF('Week1'!$A:$A,$A43,'Week1'!$D:$D)+SUMIF('Week2'!$A:$A,$A43,'Week2'!$D:$D)+SUMIF('Week3'!$A:$A,$A43,'Week3'!$D:$D)+SUMIF('Week4'!$A:$A,$A43,'Week4'!$D:$D)</f>
        <v/>
      </c>
      <c r="E43" s="7">
        <f>SUMIF('Week1'!$A:$A,$A43,'Week1'!$E:$E)+SUMIF('Week2'!$A:$A,$A43,'Week2'!$E:$E)+SUMIF('Week3'!$A:$A,$A43,'Week3'!$E:$E)+SUMIF('Week4'!$A:$A,$A43,'Week4'!$E:$E)</f>
        <v/>
      </c>
      <c r="F43" s="7">
        <f>SUMIF('Week1'!$A:$A,$A43,'Week1'!$F:$F)+SUMIF('Week2'!$A:$A,$A43,'Week2'!$F:$F)+SUMIF('Week3'!$A:$A,$A43,'Week3'!$F:$F)+SUMIF('Week4'!$A:$A,$A43,'Week4'!$F:$F)</f>
        <v/>
      </c>
      <c r="G43" s="7">
        <f>SUMIF('Week1'!$A:$A,$A43,'Week1'!$G:$G)+SUMIF('Week2'!$A:$A,$A43,'Week2'!$G:$G)+SUMIF('Week3'!$A:$A,$A43,'Week3'!$G:$G)+SUMIF('Week4'!$A:$A,$A43,'Week4'!$G:$G)</f>
        <v/>
      </c>
      <c r="H43" s="7">
        <f>SUMIF('Week1'!$A:$A,$A43,'Week1'!$H:$H)+SUMIF('Week2'!$A:$A,$A43,'Week2'!$H:$H)+SUMIF('Week3'!$A:$A,$A43,'Week3'!$H:$H)+SUMIF('Week4'!$A:$A,$A43,'Week4'!$H:$H)</f>
        <v/>
      </c>
    </row>
    <row r="44">
      <c r="A44" s="6" t="inlineStr">
        <is>
          <t>D MEGGI</t>
        </is>
      </c>
      <c r="B44" s="6" t="inlineStr">
        <is>
          <t>PKNG SLEEVING</t>
        </is>
      </c>
      <c r="C44" s="7" t="n">
        <v>387</v>
      </c>
      <c r="D44" s="7">
        <f>SUMIF('Week1'!$A:$A,$A44,'Week1'!$D:$D)+SUMIF('Week2'!$A:$A,$A44,'Week2'!$D:$D)+SUMIF('Week3'!$A:$A,$A44,'Week3'!$D:$D)+SUMIF('Week4'!$A:$A,$A44,'Week4'!$D:$D)</f>
        <v/>
      </c>
      <c r="E44" s="7">
        <f>SUMIF('Week1'!$A:$A,$A44,'Week1'!$E:$E)+SUMIF('Week2'!$A:$A,$A44,'Week2'!$E:$E)+SUMIF('Week3'!$A:$A,$A44,'Week3'!$E:$E)+SUMIF('Week4'!$A:$A,$A44,'Week4'!$E:$E)</f>
        <v/>
      </c>
      <c r="F44" s="7">
        <f>SUMIF('Week1'!$A:$A,$A44,'Week1'!$F:$F)+SUMIF('Week2'!$A:$A,$A44,'Week2'!$F:$F)+SUMIF('Week3'!$A:$A,$A44,'Week3'!$F:$F)+SUMIF('Week4'!$A:$A,$A44,'Week4'!$F:$F)</f>
        <v/>
      </c>
      <c r="G44" s="7">
        <f>SUMIF('Week1'!$A:$A,$A44,'Week1'!$G:$G)+SUMIF('Week2'!$A:$A,$A44,'Week2'!$G:$G)+SUMIF('Week3'!$A:$A,$A44,'Week3'!$G:$G)+SUMIF('Week4'!$A:$A,$A44,'Week4'!$G:$G)</f>
        <v/>
      </c>
      <c r="H44" s="7">
        <f>SUMIF('Week1'!$A:$A,$A44,'Week1'!$H:$H)+SUMIF('Week2'!$A:$A,$A44,'Week2'!$H:$H)+SUMIF('Week3'!$A:$A,$A44,'Week3'!$H:$H)+SUMIF('Week4'!$A:$A,$A44,'Week4'!$H:$H)</f>
        <v/>
      </c>
    </row>
    <row r="45">
      <c r="A45" s="6" t="inlineStr">
        <is>
          <t>V MUKESHBHAI PATEL</t>
        </is>
      </c>
      <c r="B45" s="6" t="inlineStr">
        <is>
          <t>PKNG SLEEVING</t>
        </is>
      </c>
      <c r="C45" s="7" t="n">
        <v>683</v>
      </c>
      <c r="D45" s="7">
        <f>SUMIF('Week1'!$A:$A,$A45,'Week1'!$D:$D)+SUMIF('Week2'!$A:$A,$A45,'Week2'!$D:$D)+SUMIF('Week3'!$A:$A,$A45,'Week3'!$D:$D)+SUMIF('Week4'!$A:$A,$A45,'Week4'!$D:$D)</f>
        <v/>
      </c>
      <c r="E45" s="7">
        <f>SUMIF('Week1'!$A:$A,$A45,'Week1'!$E:$E)+SUMIF('Week2'!$A:$A,$A45,'Week2'!$E:$E)+SUMIF('Week3'!$A:$A,$A45,'Week3'!$E:$E)+SUMIF('Week4'!$A:$A,$A45,'Week4'!$E:$E)</f>
        <v/>
      </c>
      <c r="F45" s="7">
        <f>SUMIF('Week1'!$A:$A,$A45,'Week1'!$F:$F)+SUMIF('Week2'!$A:$A,$A45,'Week2'!$F:$F)+SUMIF('Week3'!$A:$A,$A45,'Week3'!$F:$F)+SUMIF('Week4'!$A:$A,$A45,'Week4'!$F:$F)</f>
        <v/>
      </c>
      <c r="G45" s="7">
        <f>SUMIF('Week1'!$A:$A,$A45,'Week1'!$G:$G)+SUMIF('Week2'!$A:$A,$A45,'Week2'!$G:$G)+SUMIF('Week3'!$A:$A,$A45,'Week3'!$G:$G)+SUMIF('Week4'!$A:$A,$A45,'Week4'!$G:$G)</f>
        <v/>
      </c>
      <c r="H45" s="7">
        <f>SUMIF('Week1'!$A:$A,$A45,'Week1'!$H:$H)+SUMIF('Week2'!$A:$A,$A45,'Week2'!$H:$H)+SUMIF('Week3'!$A:$A,$A45,'Week3'!$H:$H)+SUMIF('Week4'!$A:$A,$A45,'Week4'!$H:$H)</f>
        <v/>
      </c>
    </row>
    <row r="46">
      <c r="A46" s="6" t="inlineStr">
        <is>
          <t>M PEMGI</t>
        </is>
      </c>
      <c r="B46" s="6" t="inlineStr">
        <is>
          <t>PKNG SLEEVING</t>
        </is>
      </c>
      <c r="C46" s="7" t="n">
        <v>681</v>
      </c>
      <c r="D46" s="7">
        <f>SUMIF('Week1'!$A:$A,$A46,'Week1'!$D:$D)+SUMIF('Week2'!$A:$A,$A46,'Week2'!$D:$D)+SUMIF('Week3'!$A:$A,$A46,'Week3'!$D:$D)+SUMIF('Week4'!$A:$A,$A46,'Week4'!$D:$D)</f>
        <v/>
      </c>
      <c r="E46" s="7">
        <f>SUMIF('Week1'!$A:$A,$A46,'Week1'!$E:$E)+SUMIF('Week2'!$A:$A,$A46,'Week2'!$E:$E)+SUMIF('Week3'!$A:$A,$A46,'Week3'!$E:$E)+SUMIF('Week4'!$A:$A,$A46,'Week4'!$E:$E)</f>
        <v/>
      </c>
      <c r="F46" s="7">
        <f>SUMIF('Week1'!$A:$A,$A46,'Week1'!$F:$F)+SUMIF('Week2'!$A:$A,$A46,'Week2'!$F:$F)+SUMIF('Week3'!$A:$A,$A46,'Week3'!$F:$F)+SUMIF('Week4'!$A:$A,$A46,'Week4'!$F:$F)</f>
        <v/>
      </c>
      <c r="G46" s="7">
        <f>SUMIF('Week1'!$A:$A,$A46,'Week1'!$G:$G)+SUMIF('Week2'!$A:$A,$A46,'Week2'!$G:$G)+SUMIF('Week3'!$A:$A,$A46,'Week3'!$G:$G)+SUMIF('Week4'!$A:$A,$A46,'Week4'!$G:$G)</f>
        <v/>
      </c>
      <c r="H46" s="7">
        <f>SUMIF('Week1'!$A:$A,$A46,'Week1'!$H:$H)+SUMIF('Week2'!$A:$A,$A46,'Week2'!$H:$H)+SUMIF('Week3'!$A:$A,$A46,'Week3'!$H:$H)+SUMIF('Week4'!$A:$A,$A46,'Week4'!$H:$H)</f>
        <v/>
      </c>
    </row>
    <row r="47">
      <c r="A47" s="6" t="inlineStr">
        <is>
          <t>V RAMJI</t>
        </is>
      </c>
      <c r="B47" s="6" t="inlineStr">
        <is>
          <t>PKNG SLEEVING</t>
        </is>
      </c>
      <c r="C47" s="7" t="n">
        <v>693</v>
      </c>
      <c r="D47" s="7">
        <f>SUMIF('Week1'!$A:$A,$A47,'Week1'!$D:$D)+SUMIF('Week2'!$A:$A,$A47,'Week2'!$D:$D)+SUMIF('Week3'!$A:$A,$A47,'Week3'!$D:$D)+SUMIF('Week4'!$A:$A,$A47,'Week4'!$D:$D)</f>
        <v/>
      </c>
      <c r="E47" s="7">
        <f>SUMIF('Week1'!$A:$A,$A47,'Week1'!$E:$E)+SUMIF('Week2'!$A:$A,$A47,'Week2'!$E:$E)+SUMIF('Week3'!$A:$A,$A47,'Week3'!$E:$E)+SUMIF('Week4'!$A:$A,$A47,'Week4'!$E:$E)</f>
        <v/>
      </c>
      <c r="F47" s="7">
        <f>SUMIF('Week1'!$A:$A,$A47,'Week1'!$F:$F)+SUMIF('Week2'!$A:$A,$A47,'Week2'!$F:$F)+SUMIF('Week3'!$A:$A,$A47,'Week3'!$F:$F)+SUMIF('Week4'!$A:$A,$A47,'Week4'!$F:$F)</f>
        <v/>
      </c>
      <c r="G47" s="7">
        <f>SUMIF('Week1'!$A:$A,$A47,'Week1'!$G:$G)+SUMIF('Week2'!$A:$A,$A47,'Week2'!$G:$G)+SUMIF('Week3'!$A:$A,$A47,'Week3'!$G:$G)+SUMIF('Week4'!$A:$A,$A47,'Week4'!$G:$G)</f>
        <v/>
      </c>
      <c r="H47" s="7">
        <f>SUMIF('Week1'!$A:$A,$A47,'Week1'!$H:$H)+SUMIF('Week2'!$A:$A,$A47,'Week2'!$H:$H)+SUMIF('Week3'!$A:$A,$A47,'Week3'!$H:$H)+SUMIF('Week4'!$A:$A,$A47,'Week4'!$H:$H)</f>
        <v/>
      </c>
    </row>
    <row r="48">
      <c r="A48" s="6" t="inlineStr">
        <is>
          <t>J SOMA CHAVDA</t>
        </is>
      </c>
      <c r="B48" s="6" t="inlineStr">
        <is>
          <t>PKNG SLEEVING</t>
        </is>
      </c>
      <c r="C48" s="7" t="n">
        <v>715</v>
      </c>
      <c r="D48" s="7">
        <f>SUMIF('Week1'!$A:$A,$A48,'Week1'!$D:$D)+SUMIF('Week2'!$A:$A,$A48,'Week2'!$D:$D)+SUMIF('Week3'!$A:$A,$A48,'Week3'!$D:$D)+SUMIF('Week4'!$A:$A,$A48,'Week4'!$D:$D)</f>
        <v/>
      </c>
      <c r="E48" s="7">
        <f>SUMIF('Week1'!$A:$A,$A48,'Week1'!$E:$E)+SUMIF('Week2'!$A:$A,$A48,'Week2'!$E:$E)+SUMIF('Week3'!$A:$A,$A48,'Week3'!$E:$E)+SUMIF('Week4'!$A:$A,$A48,'Week4'!$E:$E)</f>
        <v/>
      </c>
      <c r="F48" s="7">
        <f>SUMIF('Week1'!$A:$A,$A48,'Week1'!$F:$F)+SUMIF('Week2'!$A:$A,$A48,'Week2'!$F:$F)+SUMIF('Week3'!$A:$A,$A48,'Week3'!$F:$F)+SUMIF('Week4'!$A:$A,$A48,'Week4'!$F:$F)</f>
        <v/>
      </c>
      <c r="G48" s="7">
        <f>SUMIF('Week1'!$A:$A,$A48,'Week1'!$G:$G)+SUMIF('Week2'!$A:$A,$A48,'Week2'!$G:$G)+SUMIF('Week3'!$A:$A,$A48,'Week3'!$G:$G)+SUMIF('Week4'!$A:$A,$A48,'Week4'!$G:$G)</f>
        <v/>
      </c>
      <c r="H48" s="7">
        <f>SUMIF('Week1'!$A:$A,$A48,'Week1'!$H:$H)+SUMIF('Week2'!$A:$A,$A48,'Week2'!$H:$H)+SUMIF('Week3'!$A:$A,$A48,'Week3'!$H:$H)+SUMIF('Week4'!$A:$A,$A48,'Week4'!$H:$H)</f>
        <v/>
      </c>
    </row>
    <row r="49">
      <c r="A49" s="6" t="inlineStr">
        <is>
          <t>D TULSHIDAS</t>
        </is>
      </c>
      <c r="B49" s="6" t="inlineStr">
        <is>
          <t>PKNG SLEEVING</t>
        </is>
      </c>
      <c r="C49" s="7" t="n">
        <v>719</v>
      </c>
      <c r="D49" s="7">
        <f>SUMIF('Week1'!$A:$A,$A49,'Week1'!$D:$D)+SUMIF('Week2'!$A:$A,$A49,'Week2'!$D:$D)+SUMIF('Week3'!$A:$A,$A49,'Week3'!$D:$D)+SUMIF('Week4'!$A:$A,$A49,'Week4'!$D:$D)</f>
        <v/>
      </c>
      <c r="E49" s="7">
        <f>SUMIF('Week1'!$A:$A,$A49,'Week1'!$E:$E)+SUMIF('Week2'!$A:$A,$A49,'Week2'!$E:$E)+SUMIF('Week3'!$A:$A,$A49,'Week3'!$E:$E)+SUMIF('Week4'!$A:$A,$A49,'Week4'!$E:$E)</f>
        <v/>
      </c>
      <c r="F49" s="7">
        <f>SUMIF('Week1'!$A:$A,$A49,'Week1'!$F:$F)+SUMIF('Week2'!$A:$A,$A49,'Week2'!$F:$F)+SUMIF('Week3'!$A:$A,$A49,'Week3'!$F:$F)+SUMIF('Week4'!$A:$A,$A49,'Week4'!$F:$F)</f>
        <v/>
      </c>
      <c r="G49" s="7">
        <f>SUMIF('Week1'!$A:$A,$A49,'Week1'!$G:$G)+SUMIF('Week2'!$A:$A,$A49,'Week2'!$G:$G)+SUMIF('Week3'!$A:$A,$A49,'Week3'!$G:$G)+SUMIF('Week4'!$A:$A,$A49,'Week4'!$G:$G)</f>
        <v/>
      </c>
      <c r="H49" s="7">
        <f>SUMIF('Week1'!$A:$A,$A49,'Week1'!$H:$H)+SUMIF('Week2'!$A:$A,$A49,'Week2'!$H:$H)+SUMIF('Week3'!$A:$A,$A49,'Week3'!$H:$H)+SUMIF('Week4'!$A:$A,$A49,'Week4'!$H:$H)</f>
        <v/>
      </c>
    </row>
    <row r="50">
      <c r="A50" s="6" t="inlineStr">
        <is>
          <t>U BHARAT</t>
        </is>
      </c>
      <c r="B50" s="6" t="inlineStr">
        <is>
          <t>PROD BELT</t>
        </is>
      </c>
      <c r="C50" s="7" t="n">
        <v>646</v>
      </c>
      <c r="D50" s="7">
        <f>SUMIF('Week1'!$A:$A,$A50,'Week1'!$D:$D)+SUMIF('Week2'!$A:$A,$A50,'Week2'!$D:$D)+SUMIF('Week3'!$A:$A,$A50,'Week3'!$D:$D)+SUMIF('Week4'!$A:$A,$A50,'Week4'!$D:$D)</f>
        <v/>
      </c>
      <c r="E50" s="7">
        <f>SUMIF('Week1'!$A:$A,$A50,'Week1'!$E:$E)+SUMIF('Week2'!$A:$A,$A50,'Week2'!$E:$E)+SUMIF('Week3'!$A:$A,$A50,'Week3'!$E:$E)+SUMIF('Week4'!$A:$A,$A50,'Week4'!$E:$E)</f>
        <v/>
      </c>
      <c r="F50" s="7">
        <f>SUMIF('Week1'!$A:$A,$A50,'Week1'!$F:$F)+SUMIF('Week2'!$A:$A,$A50,'Week2'!$F:$F)+SUMIF('Week3'!$A:$A,$A50,'Week3'!$F:$F)+SUMIF('Week4'!$A:$A,$A50,'Week4'!$F:$F)</f>
        <v/>
      </c>
      <c r="G50" s="7">
        <f>SUMIF('Week1'!$A:$A,$A50,'Week1'!$G:$G)+SUMIF('Week2'!$A:$A,$A50,'Week2'!$G:$G)+SUMIF('Week3'!$A:$A,$A50,'Week3'!$G:$G)+SUMIF('Week4'!$A:$A,$A50,'Week4'!$G:$G)</f>
        <v/>
      </c>
      <c r="H50" s="7">
        <f>SUMIF('Week1'!$A:$A,$A50,'Week1'!$H:$H)+SUMIF('Week2'!$A:$A,$A50,'Week2'!$H:$H)+SUMIF('Week3'!$A:$A,$A50,'Week3'!$H:$H)+SUMIF('Week4'!$A:$A,$A50,'Week4'!$H:$H)</f>
        <v/>
      </c>
    </row>
    <row r="51">
      <c r="A51" s="6" t="inlineStr">
        <is>
          <t>A DANGAR</t>
        </is>
      </c>
      <c r="B51" s="6" t="inlineStr">
        <is>
          <t>PROD BELT</t>
        </is>
      </c>
      <c r="C51" s="7" t="n">
        <v>124</v>
      </c>
      <c r="D51" s="7">
        <f>SUMIF('Week1'!$A:$A,$A51,'Week1'!$D:$D)+SUMIF('Week2'!$A:$A,$A51,'Week2'!$D:$D)+SUMIF('Week3'!$A:$A,$A51,'Week3'!$D:$D)+SUMIF('Week4'!$A:$A,$A51,'Week4'!$D:$D)</f>
        <v/>
      </c>
      <c r="E51" s="7">
        <f>SUMIF('Week1'!$A:$A,$A51,'Week1'!$E:$E)+SUMIF('Week2'!$A:$A,$A51,'Week2'!$E:$E)+SUMIF('Week3'!$A:$A,$A51,'Week3'!$E:$E)+SUMIF('Week4'!$A:$A,$A51,'Week4'!$E:$E)</f>
        <v/>
      </c>
      <c r="F51" s="7">
        <f>SUMIF('Week1'!$A:$A,$A51,'Week1'!$F:$F)+SUMIF('Week2'!$A:$A,$A51,'Week2'!$F:$F)+SUMIF('Week3'!$A:$A,$A51,'Week3'!$F:$F)+SUMIF('Week4'!$A:$A,$A51,'Week4'!$F:$F)</f>
        <v/>
      </c>
      <c r="G51" s="7">
        <f>SUMIF('Week1'!$A:$A,$A51,'Week1'!$G:$G)+SUMIF('Week2'!$A:$A,$A51,'Week2'!$G:$G)+SUMIF('Week3'!$A:$A,$A51,'Week3'!$G:$G)+SUMIF('Week4'!$A:$A,$A51,'Week4'!$G:$G)</f>
        <v/>
      </c>
      <c r="H51" s="7">
        <f>SUMIF('Week1'!$A:$A,$A51,'Week1'!$H:$H)+SUMIF('Week2'!$A:$A,$A51,'Week2'!$H:$H)+SUMIF('Week3'!$A:$A,$A51,'Week3'!$H:$H)+SUMIF('Week4'!$A:$A,$A51,'Week4'!$H:$H)</f>
        <v/>
      </c>
    </row>
    <row r="52">
      <c r="A52" s="6" t="inlineStr">
        <is>
          <t>L DEVI THAPA</t>
        </is>
      </c>
      <c r="B52" s="6" t="inlineStr">
        <is>
          <t>PROD BELT</t>
        </is>
      </c>
      <c r="C52" s="7" t="n">
        <v>645</v>
      </c>
      <c r="D52" s="7">
        <f>SUMIF('Week1'!$A:$A,$A52,'Week1'!$D:$D)+SUMIF('Week2'!$A:$A,$A52,'Week2'!$D:$D)+SUMIF('Week3'!$A:$A,$A52,'Week3'!$D:$D)+SUMIF('Week4'!$A:$A,$A52,'Week4'!$D:$D)</f>
        <v/>
      </c>
      <c r="E52" s="7">
        <f>SUMIF('Week1'!$A:$A,$A52,'Week1'!$E:$E)+SUMIF('Week2'!$A:$A,$A52,'Week2'!$E:$E)+SUMIF('Week3'!$A:$A,$A52,'Week3'!$E:$E)+SUMIF('Week4'!$A:$A,$A52,'Week4'!$E:$E)</f>
        <v/>
      </c>
      <c r="F52" s="7">
        <f>SUMIF('Week1'!$A:$A,$A52,'Week1'!$F:$F)+SUMIF('Week2'!$A:$A,$A52,'Week2'!$F:$F)+SUMIF('Week3'!$A:$A,$A52,'Week3'!$F:$F)+SUMIF('Week4'!$A:$A,$A52,'Week4'!$F:$F)</f>
        <v/>
      </c>
      <c r="G52" s="7">
        <f>SUMIF('Week1'!$A:$A,$A52,'Week1'!$G:$G)+SUMIF('Week2'!$A:$A,$A52,'Week2'!$G:$G)+SUMIF('Week3'!$A:$A,$A52,'Week3'!$G:$G)+SUMIF('Week4'!$A:$A,$A52,'Week4'!$G:$G)</f>
        <v/>
      </c>
      <c r="H52" s="7">
        <f>SUMIF('Week1'!$A:$A,$A52,'Week1'!$H:$H)+SUMIF('Week2'!$A:$A,$A52,'Week2'!$H:$H)+SUMIF('Week3'!$A:$A,$A52,'Week3'!$H:$H)+SUMIF('Week4'!$A:$A,$A52,'Week4'!$H:$H)</f>
        <v/>
      </c>
    </row>
    <row r="53">
      <c r="A53" s="6" t="inlineStr">
        <is>
          <t>J DEVJI</t>
        </is>
      </c>
      <c r="B53" s="6" t="inlineStr">
        <is>
          <t>PROD BELT</t>
        </is>
      </c>
      <c r="C53" s="7" t="n">
        <v>662</v>
      </c>
      <c r="D53" s="7">
        <f>SUMIF('Week1'!$A:$A,$A53,'Week1'!$D:$D)+SUMIF('Week2'!$A:$A,$A53,'Week2'!$D:$D)+SUMIF('Week3'!$A:$A,$A53,'Week3'!$D:$D)+SUMIF('Week4'!$A:$A,$A53,'Week4'!$D:$D)</f>
        <v/>
      </c>
      <c r="E53" s="7">
        <f>SUMIF('Week1'!$A:$A,$A53,'Week1'!$E:$E)+SUMIF('Week2'!$A:$A,$A53,'Week2'!$E:$E)+SUMIF('Week3'!$A:$A,$A53,'Week3'!$E:$E)+SUMIF('Week4'!$A:$A,$A53,'Week4'!$E:$E)</f>
        <v/>
      </c>
      <c r="F53" s="7">
        <f>SUMIF('Week1'!$A:$A,$A53,'Week1'!$F:$F)+SUMIF('Week2'!$A:$A,$A53,'Week2'!$F:$F)+SUMIF('Week3'!$A:$A,$A53,'Week3'!$F:$F)+SUMIF('Week4'!$A:$A,$A53,'Week4'!$F:$F)</f>
        <v/>
      </c>
      <c r="G53" s="7">
        <f>SUMIF('Week1'!$A:$A,$A53,'Week1'!$G:$G)+SUMIF('Week2'!$A:$A,$A53,'Week2'!$G:$G)+SUMIF('Week3'!$A:$A,$A53,'Week3'!$G:$G)+SUMIF('Week4'!$A:$A,$A53,'Week4'!$G:$G)</f>
        <v/>
      </c>
      <c r="H53" s="7">
        <f>SUMIF('Week1'!$A:$A,$A53,'Week1'!$H:$H)+SUMIF('Week2'!$A:$A,$A53,'Week2'!$H:$H)+SUMIF('Week3'!$A:$A,$A53,'Week3'!$H:$H)+SUMIF('Week4'!$A:$A,$A53,'Week4'!$H:$H)</f>
        <v/>
      </c>
    </row>
    <row r="54">
      <c r="A54" s="6" t="inlineStr">
        <is>
          <t>L GIVA</t>
        </is>
      </c>
      <c r="B54" s="6" t="inlineStr">
        <is>
          <t>PROD BELT</t>
        </is>
      </c>
      <c r="C54" s="7" t="n">
        <v>584</v>
      </c>
      <c r="D54" s="7">
        <f>SUMIF('Week1'!$A:$A,$A54,'Week1'!$D:$D)+SUMIF('Week2'!$A:$A,$A54,'Week2'!$D:$D)+SUMIF('Week3'!$A:$A,$A54,'Week3'!$D:$D)+SUMIF('Week4'!$A:$A,$A54,'Week4'!$D:$D)</f>
        <v/>
      </c>
      <c r="E54" s="7">
        <f>SUMIF('Week1'!$A:$A,$A54,'Week1'!$E:$E)+SUMIF('Week2'!$A:$A,$A54,'Week2'!$E:$E)+SUMIF('Week3'!$A:$A,$A54,'Week3'!$E:$E)+SUMIF('Week4'!$A:$A,$A54,'Week4'!$E:$E)</f>
        <v/>
      </c>
      <c r="F54" s="7">
        <f>SUMIF('Week1'!$A:$A,$A54,'Week1'!$F:$F)+SUMIF('Week2'!$A:$A,$A54,'Week2'!$F:$F)+SUMIF('Week3'!$A:$A,$A54,'Week3'!$F:$F)+SUMIF('Week4'!$A:$A,$A54,'Week4'!$F:$F)</f>
        <v/>
      </c>
      <c r="G54" s="7">
        <f>SUMIF('Week1'!$A:$A,$A54,'Week1'!$G:$G)+SUMIF('Week2'!$A:$A,$A54,'Week2'!$G:$G)+SUMIF('Week3'!$A:$A,$A54,'Week3'!$G:$G)+SUMIF('Week4'!$A:$A,$A54,'Week4'!$G:$G)</f>
        <v/>
      </c>
      <c r="H54" s="7">
        <f>SUMIF('Week1'!$A:$A,$A54,'Week1'!$H:$H)+SUMIF('Week2'!$A:$A,$A54,'Week2'!$H:$H)+SUMIF('Week3'!$A:$A,$A54,'Week3'!$H:$H)+SUMIF('Week4'!$A:$A,$A54,'Week4'!$H:$H)</f>
        <v/>
      </c>
    </row>
    <row r="55">
      <c r="A55" s="6" t="inlineStr">
        <is>
          <t>B GURUNG</t>
        </is>
      </c>
      <c r="B55" s="6" t="inlineStr">
        <is>
          <t>PROD BELT</t>
        </is>
      </c>
      <c r="C55" s="7" t="n">
        <v>40</v>
      </c>
      <c r="D55" s="7">
        <f>SUMIF('Week1'!$A:$A,$A55,'Week1'!$D:$D)+SUMIF('Week2'!$A:$A,$A55,'Week2'!$D:$D)+SUMIF('Week3'!$A:$A,$A55,'Week3'!$D:$D)+SUMIF('Week4'!$A:$A,$A55,'Week4'!$D:$D)</f>
        <v/>
      </c>
      <c r="E55" s="7">
        <f>SUMIF('Week1'!$A:$A,$A55,'Week1'!$E:$E)+SUMIF('Week2'!$A:$A,$A55,'Week2'!$E:$E)+SUMIF('Week3'!$A:$A,$A55,'Week3'!$E:$E)+SUMIF('Week4'!$A:$A,$A55,'Week4'!$E:$E)</f>
        <v/>
      </c>
      <c r="F55" s="7">
        <f>SUMIF('Week1'!$A:$A,$A55,'Week1'!$F:$F)+SUMIF('Week2'!$A:$A,$A55,'Week2'!$F:$F)+SUMIF('Week3'!$A:$A,$A55,'Week3'!$F:$F)+SUMIF('Week4'!$A:$A,$A55,'Week4'!$F:$F)</f>
        <v/>
      </c>
      <c r="G55" s="7">
        <f>SUMIF('Week1'!$A:$A,$A55,'Week1'!$G:$G)+SUMIF('Week2'!$A:$A,$A55,'Week2'!$G:$G)+SUMIF('Week3'!$A:$A,$A55,'Week3'!$G:$G)+SUMIF('Week4'!$A:$A,$A55,'Week4'!$G:$G)</f>
        <v/>
      </c>
      <c r="H55" s="7">
        <f>SUMIF('Week1'!$A:$A,$A55,'Week1'!$H:$H)+SUMIF('Week2'!$A:$A,$A55,'Week2'!$H:$H)+SUMIF('Week3'!$A:$A,$A55,'Week3'!$H:$H)+SUMIF('Week4'!$A:$A,$A55,'Week4'!$H:$H)</f>
        <v/>
      </c>
    </row>
    <row r="56">
      <c r="A56" s="6" t="inlineStr">
        <is>
          <t>E KECZAN</t>
        </is>
      </c>
      <c r="B56" s="6" t="inlineStr">
        <is>
          <t>PROD BELT</t>
        </is>
      </c>
      <c r="C56" s="7" t="n">
        <v>204</v>
      </c>
      <c r="D56" s="7">
        <f>SUMIF('Week1'!$A:$A,$A56,'Week1'!$D:$D)+SUMIF('Week2'!$A:$A,$A56,'Week2'!$D:$D)+SUMIF('Week3'!$A:$A,$A56,'Week3'!$D:$D)+SUMIF('Week4'!$A:$A,$A56,'Week4'!$D:$D)</f>
        <v/>
      </c>
      <c r="E56" s="7">
        <f>SUMIF('Week1'!$A:$A,$A56,'Week1'!$E:$E)+SUMIF('Week2'!$A:$A,$A56,'Week2'!$E:$E)+SUMIF('Week3'!$A:$A,$A56,'Week3'!$E:$E)+SUMIF('Week4'!$A:$A,$A56,'Week4'!$E:$E)</f>
        <v/>
      </c>
      <c r="F56" s="7">
        <f>SUMIF('Week1'!$A:$A,$A56,'Week1'!$F:$F)+SUMIF('Week2'!$A:$A,$A56,'Week2'!$F:$F)+SUMIF('Week3'!$A:$A,$A56,'Week3'!$F:$F)+SUMIF('Week4'!$A:$A,$A56,'Week4'!$F:$F)</f>
        <v/>
      </c>
      <c r="G56" s="7">
        <f>SUMIF('Week1'!$A:$A,$A56,'Week1'!$G:$G)+SUMIF('Week2'!$A:$A,$A56,'Week2'!$G:$G)+SUMIF('Week3'!$A:$A,$A56,'Week3'!$G:$G)+SUMIF('Week4'!$A:$A,$A56,'Week4'!$G:$G)</f>
        <v/>
      </c>
      <c r="H56" s="7">
        <f>SUMIF('Week1'!$A:$A,$A56,'Week1'!$H:$H)+SUMIF('Week2'!$A:$A,$A56,'Week2'!$H:$H)+SUMIF('Week3'!$A:$A,$A56,'Week3'!$H:$H)+SUMIF('Week4'!$A:$A,$A56,'Week4'!$H:$H)</f>
        <v/>
      </c>
    </row>
    <row r="57">
      <c r="A57" s="6" t="inlineStr">
        <is>
          <t>M MAHENDRA</t>
        </is>
      </c>
      <c r="B57" s="6" t="inlineStr">
        <is>
          <t>PROD BELT</t>
        </is>
      </c>
      <c r="C57" s="7" t="n">
        <v>746</v>
      </c>
      <c r="D57" s="7">
        <f>SUMIF('Week1'!$A:$A,$A57,'Week1'!$D:$D)+SUMIF('Week2'!$A:$A,$A57,'Week2'!$D:$D)+SUMIF('Week3'!$A:$A,$A57,'Week3'!$D:$D)+SUMIF('Week4'!$A:$A,$A57,'Week4'!$D:$D)</f>
        <v/>
      </c>
      <c r="E57" s="7">
        <f>SUMIF('Week1'!$A:$A,$A57,'Week1'!$E:$E)+SUMIF('Week2'!$A:$A,$A57,'Week2'!$E:$E)+SUMIF('Week3'!$A:$A,$A57,'Week3'!$E:$E)+SUMIF('Week4'!$A:$A,$A57,'Week4'!$E:$E)</f>
        <v/>
      </c>
      <c r="F57" s="7">
        <f>SUMIF('Week1'!$A:$A,$A57,'Week1'!$F:$F)+SUMIF('Week2'!$A:$A,$A57,'Week2'!$F:$F)+SUMIF('Week3'!$A:$A,$A57,'Week3'!$F:$F)+SUMIF('Week4'!$A:$A,$A57,'Week4'!$F:$F)</f>
        <v/>
      </c>
      <c r="G57" s="7">
        <f>SUMIF('Week1'!$A:$A,$A57,'Week1'!$G:$G)+SUMIF('Week2'!$A:$A,$A57,'Week2'!$G:$G)+SUMIF('Week3'!$A:$A,$A57,'Week3'!$G:$G)+SUMIF('Week4'!$A:$A,$A57,'Week4'!$G:$G)</f>
        <v/>
      </c>
      <c r="H57" s="7">
        <f>SUMIF('Week1'!$A:$A,$A57,'Week1'!$H:$H)+SUMIF('Week2'!$A:$A,$A57,'Week2'!$H:$H)+SUMIF('Week3'!$A:$A,$A57,'Week3'!$H:$H)+SUMIF('Week4'!$A:$A,$A57,'Week4'!$H:$H)</f>
        <v/>
      </c>
    </row>
    <row r="58">
      <c r="A58" s="6" t="inlineStr">
        <is>
          <t>V PATEL</t>
        </is>
      </c>
      <c r="B58" s="6" t="inlineStr">
        <is>
          <t>PROD BELT</t>
        </is>
      </c>
      <c r="C58" s="7" t="n">
        <v>18</v>
      </c>
      <c r="D58" s="7">
        <f>SUMIF('Week1'!$A:$A,$A58,'Week1'!$D:$D)+SUMIF('Week2'!$A:$A,$A58,'Week2'!$D:$D)+SUMIF('Week3'!$A:$A,$A58,'Week3'!$D:$D)+SUMIF('Week4'!$A:$A,$A58,'Week4'!$D:$D)</f>
        <v/>
      </c>
      <c r="E58" s="7">
        <f>SUMIF('Week1'!$A:$A,$A58,'Week1'!$E:$E)+SUMIF('Week2'!$A:$A,$A58,'Week2'!$E:$E)+SUMIF('Week3'!$A:$A,$A58,'Week3'!$E:$E)+SUMIF('Week4'!$A:$A,$A58,'Week4'!$E:$E)</f>
        <v/>
      </c>
      <c r="F58" s="7">
        <f>SUMIF('Week1'!$A:$A,$A58,'Week1'!$F:$F)+SUMIF('Week2'!$A:$A,$A58,'Week2'!$F:$F)+SUMIF('Week3'!$A:$A,$A58,'Week3'!$F:$F)+SUMIF('Week4'!$A:$A,$A58,'Week4'!$F:$F)</f>
        <v/>
      </c>
      <c r="G58" s="7">
        <f>SUMIF('Week1'!$A:$A,$A58,'Week1'!$G:$G)+SUMIF('Week2'!$A:$A,$A58,'Week2'!$G:$G)+SUMIF('Week3'!$A:$A,$A58,'Week3'!$G:$G)+SUMIF('Week4'!$A:$A,$A58,'Week4'!$G:$G)</f>
        <v/>
      </c>
      <c r="H58" s="7">
        <f>SUMIF('Week1'!$A:$A,$A58,'Week1'!$H:$H)+SUMIF('Week2'!$A:$A,$A58,'Week2'!$H:$H)+SUMIF('Week3'!$A:$A,$A58,'Week3'!$H:$H)+SUMIF('Week4'!$A:$A,$A58,'Week4'!$H:$H)</f>
        <v/>
      </c>
    </row>
    <row r="59">
      <c r="A59" s="6" t="inlineStr">
        <is>
          <t>V PILLAIYANAR</t>
        </is>
      </c>
      <c r="B59" s="6" t="inlineStr">
        <is>
          <t>PROD BELT</t>
        </is>
      </c>
      <c r="C59" s="7" t="n">
        <v>150</v>
      </c>
      <c r="D59" s="7">
        <f>SUMIF('Week1'!$A:$A,$A59,'Week1'!$D:$D)+SUMIF('Week2'!$A:$A,$A59,'Week2'!$D:$D)+SUMIF('Week3'!$A:$A,$A59,'Week3'!$D:$D)+SUMIF('Week4'!$A:$A,$A59,'Week4'!$D:$D)</f>
        <v/>
      </c>
      <c r="E59" s="7">
        <f>SUMIF('Week1'!$A:$A,$A59,'Week1'!$E:$E)+SUMIF('Week2'!$A:$A,$A59,'Week2'!$E:$E)+SUMIF('Week3'!$A:$A,$A59,'Week3'!$E:$E)+SUMIF('Week4'!$A:$A,$A59,'Week4'!$E:$E)</f>
        <v/>
      </c>
      <c r="F59" s="7">
        <f>SUMIF('Week1'!$A:$A,$A59,'Week1'!$F:$F)+SUMIF('Week2'!$A:$A,$A59,'Week2'!$F:$F)+SUMIF('Week3'!$A:$A,$A59,'Week3'!$F:$F)+SUMIF('Week4'!$A:$A,$A59,'Week4'!$F:$F)</f>
        <v/>
      </c>
      <c r="G59" s="7">
        <f>SUMIF('Week1'!$A:$A,$A59,'Week1'!$G:$G)+SUMIF('Week2'!$A:$A,$A59,'Week2'!$G:$G)+SUMIF('Week3'!$A:$A,$A59,'Week3'!$G:$G)+SUMIF('Week4'!$A:$A,$A59,'Week4'!$G:$G)</f>
        <v/>
      </c>
      <c r="H59" s="7">
        <f>SUMIF('Week1'!$A:$A,$A59,'Week1'!$H:$H)+SUMIF('Week2'!$A:$A,$A59,'Week2'!$H:$H)+SUMIF('Week3'!$A:$A,$A59,'Week3'!$H:$H)+SUMIF('Week4'!$A:$A,$A59,'Week4'!$H:$H)</f>
        <v/>
      </c>
    </row>
    <row r="60">
      <c r="A60" s="6" t="inlineStr">
        <is>
          <t>D RAJA</t>
        </is>
      </c>
      <c r="B60" s="6" t="inlineStr">
        <is>
          <t>PROD BELT</t>
        </is>
      </c>
      <c r="C60" s="7" t="n">
        <v>550</v>
      </c>
      <c r="D60" s="7">
        <f>SUMIF('Week1'!$A:$A,$A60,'Week1'!$D:$D)+SUMIF('Week2'!$A:$A,$A60,'Week2'!$D:$D)+SUMIF('Week3'!$A:$A,$A60,'Week3'!$D:$D)+SUMIF('Week4'!$A:$A,$A60,'Week4'!$D:$D)</f>
        <v/>
      </c>
      <c r="E60" s="7">
        <f>SUMIF('Week1'!$A:$A,$A60,'Week1'!$E:$E)+SUMIF('Week2'!$A:$A,$A60,'Week2'!$E:$E)+SUMIF('Week3'!$A:$A,$A60,'Week3'!$E:$E)+SUMIF('Week4'!$A:$A,$A60,'Week4'!$E:$E)</f>
        <v/>
      </c>
      <c r="F60" s="7">
        <f>SUMIF('Week1'!$A:$A,$A60,'Week1'!$F:$F)+SUMIF('Week2'!$A:$A,$A60,'Week2'!$F:$F)+SUMIF('Week3'!$A:$A,$A60,'Week3'!$F:$F)+SUMIF('Week4'!$A:$A,$A60,'Week4'!$F:$F)</f>
        <v/>
      </c>
      <c r="G60" s="7">
        <f>SUMIF('Week1'!$A:$A,$A60,'Week1'!$G:$G)+SUMIF('Week2'!$A:$A,$A60,'Week2'!$G:$G)+SUMIF('Week3'!$A:$A,$A60,'Week3'!$G:$G)+SUMIF('Week4'!$A:$A,$A60,'Week4'!$G:$G)</f>
        <v/>
      </c>
      <c r="H60" s="7">
        <f>SUMIF('Week1'!$A:$A,$A60,'Week1'!$H:$H)+SUMIF('Week2'!$A:$A,$A60,'Week2'!$H:$H)+SUMIF('Week3'!$A:$A,$A60,'Week3'!$H:$H)+SUMIF('Week4'!$A:$A,$A60,'Week4'!$H:$H)</f>
        <v/>
      </c>
    </row>
    <row r="61">
      <c r="A61" s="6" t="inlineStr">
        <is>
          <t>U RAMESH</t>
        </is>
      </c>
      <c r="B61" s="6" t="inlineStr">
        <is>
          <t>PROD BELT</t>
        </is>
      </c>
      <c r="C61" s="7" t="n">
        <v>733</v>
      </c>
      <c r="D61" s="7">
        <f>SUMIF('Week1'!$A:$A,$A61,'Week1'!$D:$D)+SUMIF('Week2'!$A:$A,$A61,'Week2'!$D:$D)+SUMIF('Week3'!$A:$A,$A61,'Week3'!$D:$D)+SUMIF('Week4'!$A:$A,$A61,'Week4'!$D:$D)</f>
        <v/>
      </c>
      <c r="E61" s="7">
        <f>SUMIF('Week1'!$A:$A,$A61,'Week1'!$E:$E)+SUMIF('Week2'!$A:$A,$A61,'Week2'!$E:$E)+SUMIF('Week3'!$A:$A,$A61,'Week3'!$E:$E)+SUMIF('Week4'!$A:$A,$A61,'Week4'!$E:$E)</f>
        <v/>
      </c>
      <c r="F61" s="7">
        <f>SUMIF('Week1'!$A:$A,$A61,'Week1'!$F:$F)+SUMIF('Week2'!$A:$A,$A61,'Week2'!$F:$F)+SUMIF('Week3'!$A:$A,$A61,'Week3'!$F:$F)+SUMIF('Week4'!$A:$A,$A61,'Week4'!$F:$F)</f>
        <v/>
      </c>
      <c r="G61" s="7">
        <f>SUMIF('Week1'!$A:$A,$A61,'Week1'!$G:$G)+SUMIF('Week2'!$A:$A,$A61,'Week2'!$G:$G)+SUMIF('Week3'!$A:$A,$A61,'Week3'!$G:$G)+SUMIF('Week4'!$A:$A,$A61,'Week4'!$G:$G)</f>
        <v/>
      </c>
      <c r="H61" s="7">
        <f>SUMIF('Week1'!$A:$A,$A61,'Week1'!$H:$H)+SUMIF('Week2'!$A:$A,$A61,'Week2'!$H:$H)+SUMIF('Week3'!$A:$A,$A61,'Week3'!$H:$H)+SUMIF('Week4'!$A:$A,$A61,'Week4'!$H:$H)</f>
        <v/>
      </c>
    </row>
    <row r="62">
      <c r="A62" s="6" t="inlineStr">
        <is>
          <t>U SHRESTHA</t>
        </is>
      </c>
      <c r="B62" s="6" t="inlineStr">
        <is>
          <t>PROD BELT</t>
        </is>
      </c>
      <c r="C62" s="7" t="n">
        <v>330</v>
      </c>
      <c r="D62" s="7">
        <f>SUMIF('Week1'!$A:$A,$A62,'Week1'!$D:$D)+SUMIF('Week2'!$A:$A,$A62,'Week2'!$D:$D)+SUMIF('Week3'!$A:$A,$A62,'Week3'!$D:$D)+SUMIF('Week4'!$A:$A,$A62,'Week4'!$D:$D)</f>
        <v/>
      </c>
      <c r="E62" s="7">
        <f>SUMIF('Week1'!$A:$A,$A62,'Week1'!$E:$E)+SUMIF('Week2'!$A:$A,$A62,'Week2'!$E:$E)+SUMIF('Week3'!$A:$A,$A62,'Week3'!$E:$E)+SUMIF('Week4'!$A:$A,$A62,'Week4'!$E:$E)</f>
        <v/>
      </c>
      <c r="F62" s="7">
        <f>SUMIF('Week1'!$A:$A,$A62,'Week1'!$F:$F)+SUMIF('Week2'!$A:$A,$A62,'Week2'!$F:$F)+SUMIF('Week3'!$A:$A,$A62,'Week3'!$F:$F)+SUMIF('Week4'!$A:$A,$A62,'Week4'!$F:$F)</f>
        <v/>
      </c>
      <c r="G62" s="7">
        <f>SUMIF('Week1'!$A:$A,$A62,'Week1'!$G:$G)+SUMIF('Week2'!$A:$A,$A62,'Week2'!$G:$G)+SUMIF('Week3'!$A:$A,$A62,'Week3'!$G:$G)+SUMIF('Week4'!$A:$A,$A62,'Week4'!$G:$G)</f>
        <v/>
      </c>
      <c r="H62" s="7">
        <f>SUMIF('Week1'!$A:$A,$A62,'Week1'!$H:$H)+SUMIF('Week2'!$A:$A,$A62,'Week2'!$H:$H)+SUMIF('Week3'!$A:$A,$A62,'Week3'!$H:$H)+SUMIF('Week4'!$A:$A,$A62,'Week4'!$H:$H)</f>
        <v/>
      </c>
    </row>
    <row r="63">
      <c r="A63" s="6" t="inlineStr">
        <is>
          <t>A THAKKAR</t>
        </is>
      </c>
      <c r="B63" s="6" t="inlineStr">
        <is>
          <t>PROD BELT</t>
        </is>
      </c>
      <c r="C63" s="7" t="n">
        <v>50</v>
      </c>
      <c r="D63" s="7">
        <f>SUMIF('Week1'!$A:$A,$A63,'Week1'!$D:$D)+SUMIF('Week2'!$A:$A,$A63,'Week2'!$D:$D)+SUMIF('Week3'!$A:$A,$A63,'Week3'!$D:$D)+SUMIF('Week4'!$A:$A,$A63,'Week4'!$D:$D)</f>
        <v/>
      </c>
      <c r="E63" s="7">
        <f>SUMIF('Week1'!$A:$A,$A63,'Week1'!$E:$E)+SUMIF('Week2'!$A:$A,$A63,'Week2'!$E:$E)+SUMIF('Week3'!$A:$A,$A63,'Week3'!$E:$E)+SUMIF('Week4'!$A:$A,$A63,'Week4'!$E:$E)</f>
        <v/>
      </c>
      <c r="F63" s="7">
        <f>SUMIF('Week1'!$A:$A,$A63,'Week1'!$F:$F)+SUMIF('Week2'!$A:$A,$A63,'Week2'!$F:$F)+SUMIF('Week3'!$A:$A,$A63,'Week3'!$F:$F)+SUMIF('Week4'!$A:$A,$A63,'Week4'!$F:$F)</f>
        <v/>
      </c>
      <c r="G63" s="7">
        <f>SUMIF('Week1'!$A:$A,$A63,'Week1'!$G:$G)+SUMIF('Week2'!$A:$A,$A63,'Week2'!$G:$G)+SUMIF('Week3'!$A:$A,$A63,'Week3'!$G:$G)+SUMIF('Week4'!$A:$A,$A63,'Week4'!$G:$G)</f>
        <v/>
      </c>
      <c r="H63" s="7">
        <f>SUMIF('Week1'!$A:$A,$A63,'Week1'!$H:$H)+SUMIF('Week2'!$A:$A,$A63,'Week2'!$H:$H)+SUMIF('Week3'!$A:$A,$A63,'Week3'!$H:$H)+SUMIF('Week4'!$A:$A,$A63,'Week4'!$H:$H)</f>
        <v/>
      </c>
    </row>
    <row r="64">
      <c r="A64" s="6" t="inlineStr">
        <is>
          <t>N UCARO</t>
        </is>
      </c>
      <c r="B64" s="6" t="inlineStr">
        <is>
          <t>PROD BELT</t>
        </is>
      </c>
      <c r="C64" s="7" t="n">
        <v>663</v>
      </c>
      <c r="D64" s="7">
        <f>SUMIF('Week1'!$A:$A,$A64,'Week1'!$D:$D)+SUMIF('Week2'!$A:$A,$A64,'Week2'!$D:$D)+SUMIF('Week3'!$A:$A,$A64,'Week3'!$D:$D)+SUMIF('Week4'!$A:$A,$A64,'Week4'!$D:$D)</f>
        <v/>
      </c>
      <c r="E64" s="7">
        <f>SUMIF('Week1'!$A:$A,$A64,'Week1'!$E:$E)+SUMIF('Week2'!$A:$A,$A64,'Week2'!$E:$E)+SUMIF('Week3'!$A:$A,$A64,'Week3'!$E:$E)+SUMIF('Week4'!$A:$A,$A64,'Week4'!$E:$E)</f>
        <v/>
      </c>
      <c r="F64" s="7">
        <f>SUMIF('Week1'!$A:$A,$A64,'Week1'!$F:$F)+SUMIF('Week2'!$A:$A,$A64,'Week2'!$F:$F)+SUMIF('Week3'!$A:$A,$A64,'Week3'!$F:$F)+SUMIF('Week4'!$A:$A,$A64,'Week4'!$F:$F)</f>
        <v/>
      </c>
      <c r="G64" s="7">
        <f>SUMIF('Week1'!$A:$A,$A64,'Week1'!$G:$G)+SUMIF('Week2'!$A:$A,$A64,'Week2'!$G:$G)+SUMIF('Week3'!$A:$A,$A64,'Week3'!$G:$G)+SUMIF('Week4'!$A:$A,$A64,'Week4'!$G:$G)</f>
        <v/>
      </c>
      <c r="H64" s="7">
        <f>SUMIF('Week1'!$A:$A,$A64,'Week1'!$H:$H)+SUMIF('Week2'!$A:$A,$A64,'Week2'!$H:$H)+SUMIF('Week3'!$A:$A,$A64,'Week3'!$H:$H)+SUMIF('Week4'!$A:$A,$A64,'Week4'!$H:$H)</f>
        <v/>
      </c>
    </row>
    <row r="65">
      <c r="A65" s="6" t="inlineStr">
        <is>
          <t>H BHAGVAN</t>
        </is>
      </c>
      <c r="B65" s="6" t="inlineStr">
        <is>
          <t>PROD FORMING</t>
        </is>
      </c>
      <c r="C65" s="7" t="n">
        <v>741</v>
      </c>
      <c r="D65" s="7">
        <f>SUMIF('Week1'!$A:$A,$A65,'Week1'!$D:$D)+SUMIF('Week2'!$A:$A,$A65,'Week2'!$D:$D)+SUMIF('Week3'!$A:$A,$A65,'Week3'!$D:$D)+SUMIF('Week4'!$A:$A,$A65,'Week4'!$D:$D)</f>
        <v/>
      </c>
      <c r="E65" s="7">
        <f>SUMIF('Week1'!$A:$A,$A65,'Week1'!$E:$E)+SUMIF('Week2'!$A:$A,$A65,'Week2'!$E:$E)+SUMIF('Week3'!$A:$A,$A65,'Week3'!$E:$E)+SUMIF('Week4'!$A:$A,$A65,'Week4'!$E:$E)</f>
        <v/>
      </c>
      <c r="F65" s="7">
        <f>SUMIF('Week1'!$A:$A,$A65,'Week1'!$F:$F)+SUMIF('Week2'!$A:$A,$A65,'Week2'!$F:$F)+SUMIF('Week3'!$A:$A,$A65,'Week3'!$F:$F)+SUMIF('Week4'!$A:$A,$A65,'Week4'!$F:$F)</f>
        <v/>
      </c>
      <c r="G65" s="7">
        <f>SUMIF('Week1'!$A:$A,$A65,'Week1'!$G:$G)+SUMIF('Week2'!$A:$A,$A65,'Week2'!$G:$G)+SUMIF('Week3'!$A:$A,$A65,'Week3'!$G:$G)+SUMIF('Week4'!$A:$A,$A65,'Week4'!$G:$G)</f>
        <v/>
      </c>
      <c r="H65" s="7">
        <f>SUMIF('Week1'!$A:$A,$A65,'Week1'!$H:$H)+SUMIF('Week2'!$A:$A,$A65,'Week2'!$H:$H)+SUMIF('Week3'!$A:$A,$A65,'Week3'!$H:$H)+SUMIF('Week4'!$A:$A,$A65,'Week4'!$H:$H)</f>
        <v/>
      </c>
    </row>
    <row r="66">
      <c r="A66" s="6" t="inlineStr">
        <is>
          <t>H CALA</t>
        </is>
      </c>
      <c r="B66" s="6" t="inlineStr">
        <is>
          <t>PROD FORMING</t>
        </is>
      </c>
      <c r="C66" s="7" t="n">
        <v>606</v>
      </c>
      <c r="D66" s="7">
        <f>SUMIF('Week1'!$A:$A,$A66,'Week1'!$D:$D)+SUMIF('Week2'!$A:$A,$A66,'Week2'!$D:$D)+SUMIF('Week3'!$A:$A,$A66,'Week3'!$D:$D)+SUMIF('Week4'!$A:$A,$A66,'Week4'!$D:$D)</f>
        <v/>
      </c>
      <c r="E66" s="7">
        <f>SUMIF('Week1'!$A:$A,$A66,'Week1'!$E:$E)+SUMIF('Week2'!$A:$A,$A66,'Week2'!$E:$E)+SUMIF('Week3'!$A:$A,$A66,'Week3'!$E:$E)+SUMIF('Week4'!$A:$A,$A66,'Week4'!$E:$E)</f>
        <v/>
      </c>
      <c r="F66" s="7">
        <f>SUMIF('Week1'!$A:$A,$A66,'Week1'!$F:$F)+SUMIF('Week2'!$A:$A,$A66,'Week2'!$F:$F)+SUMIF('Week3'!$A:$A,$A66,'Week3'!$F:$F)+SUMIF('Week4'!$A:$A,$A66,'Week4'!$F:$F)</f>
        <v/>
      </c>
      <c r="G66" s="7">
        <f>SUMIF('Week1'!$A:$A,$A66,'Week1'!$G:$G)+SUMIF('Week2'!$A:$A,$A66,'Week2'!$G:$G)+SUMIF('Week3'!$A:$A,$A66,'Week3'!$G:$G)+SUMIF('Week4'!$A:$A,$A66,'Week4'!$G:$G)</f>
        <v/>
      </c>
      <c r="H66" s="7">
        <f>SUMIF('Week1'!$A:$A,$A66,'Week1'!$H:$H)+SUMIF('Week2'!$A:$A,$A66,'Week2'!$H:$H)+SUMIF('Week3'!$A:$A,$A66,'Week3'!$H:$H)+SUMIF('Week4'!$A:$A,$A66,'Week4'!$H:$H)</f>
        <v/>
      </c>
    </row>
    <row r="67">
      <c r="A67" s="6" t="inlineStr">
        <is>
          <t>A CARVALHO</t>
        </is>
      </c>
      <c r="B67" s="6" t="inlineStr">
        <is>
          <t>PROD FORMING</t>
        </is>
      </c>
      <c r="C67" s="7" t="n">
        <v>444</v>
      </c>
      <c r="D67" s="7">
        <f>SUMIF('Week1'!$A:$A,$A67,'Week1'!$D:$D)+SUMIF('Week2'!$A:$A,$A67,'Week2'!$D:$D)+SUMIF('Week3'!$A:$A,$A67,'Week3'!$D:$D)+SUMIF('Week4'!$A:$A,$A67,'Week4'!$D:$D)</f>
        <v/>
      </c>
      <c r="E67" s="7">
        <f>SUMIF('Week1'!$A:$A,$A67,'Week1'!$E:$E)+SUMIF('Week2'!$A:$A,$A67,'Week2'!$E:$E)+SUMIF('Week3'!$A:$A,$A67,'Week3'!$E:$E)+SUMIF('Week4'!$A:$A,$A67,'Week4'!$E:$E)</f>
        <v/>
      </c>
      <c r="F67" s="7">
        <f>SUMIF('Week1'!$A:$A,$A67,'Week1'!$F:$F)+SUMIF('Week2'!$A:$A,$A67,'Week2'!$F:$F)+SUMIF('Week3'!$A:$A,$A67,'Week3'!$F:$F)+SUMIF('Week4'!$A:$A,$A67,'Week4'!$F:$F)</f>
        <v/>
      </c>
      <c r="G67" s="7">
        <f>SUMIF('Week1'!$A:$A,$A67,'Week1'!$G:$G)+SUMIF('Week2'!$A:$A,$A67,'Week2'!$G:$G)+SUMIF('Week3'!$A:$A,$A67,'Week3'!$G:$G)+SUMIF('Week4'!$A:$A,$A67,'Week4'!$G:$G)</f>
        <v/>
      </c>
      <c r="H67" s="7">
        <f>SUMIF('Week1'!$A:$A,$A67,'Week1'!$H:$H)+SUMIF('Week2'!$A:$A,$A67,'Week2'!$H:$H)+SUMIF('Week3'!$A:$A,$A67,'Week3'!$H:$H)+SUMIF('Week4'!$A:$A,$A67,'Week4'!$H:$H)</f>
        <v/>
      </c>
    </row>
    <row r="68">
      <c r="A68" s="6" t="inlineStr">
        <is>
          <t>U HARJI</t>
        </is>
      </c>
      <c r="B68" s="6" t="inlineStr">
        <is>
          <t>PROD FORMING</t>
        </is>
      </c>
      <c r="C68" s="7" t="n">
        <v>739</v>
      </c>
      <c r="D68" s="7">
        <f>SUMIF('Week1'!$A:$A,$A68,'Week1'!$D:$D)+SUMIF('Week2'!$A:$A,$A68,'Week2'!$D:$D)+SUMIF('Week3'!$A:$A,$A68,'Week3'!$D:$D)+SUMIF('Week4'!$A:$A,$A68,'Week4'!$D:$D)</f>
        <v/>
      </c>
      <c r="E68" s="7">
        <f>SUMIF('Week1'!$A:$A,$A68,'Week1'!$E:$E)+SUMIF('Week2'!$A:$A,$A68,'Week2'!$E:$E)+SUMIF('Week3'!$A:$A,$A68,'Week3'!$E:$E)+SUMIF('Week4'!$A:$A,$A68,'Week4'!$E:$E)</f>
        <v/>
      </c>
      <c r="F68" s="7">
        <f>SUMIF('Week1'!$A:$A,$A68,'Week1'!$F:$F)+SUMIF('Week2'!$A:$A,$A68,'Week2'!$F:$F)+SUMIF('Week3'!$A:$A,$A68,'Week3'!$F:$F)+SUMIF('Week4'!$A:$A,$A68,'Week4'!$F:$F)</f>
        <v/>
      </c>
      <c r="G68" s="7">
        <f>SUMIF('Week1'!$A:$A,$A68,'Week1'!$G:$G)+SUMIF('Week2'!$A:$A,$A68,'Week2'!$G:$G)+SUMIF('Week3'!$A:$A,$A68,'Week3'!$G:$G)+SUMIF('Week4'!$A:$A,$A68,'Week4'!$G:$G)</f>
        <v/>
      </c>
      <c r="H68" s="7">
        <f>SUMIF('Week1'!$A:$A,$A68,'Week1'!$H:$H)+SUMIF('Week2'!$A:$A,$A68,'Week2'!$H:$H)+SUMIF('Week3'!$A:$A,$A68,'Week3'!$H:$H)+SUMIF('Week4'!$A:$A,$A68,'Week4'!$H:$H)</f>
        <v/>
      </c>
    </row>
    <row r="69">
      <c r="A69" s="6" t="inlineStr">
        <is>
          <t>B NARSINH VAISHYA</t>
        </is>
      </c>
      <c r="B69" s="6" t="inlineStr">
        <is>
          <t>PROD FORMING</t>
        </is>
      </c>
      <c r="C69" s="7" t="n">
        <v>738</v>
      </c>
      <c r="D69" s="7">
        <f>SUMIF('Week1'!$A:$A,$A69,'Week1'!$D:$D)+SUMIF('Week2'!$A:$A,$A69,'Week2'!$D:$D)+SUMIF('Week3'!$A:$A,$A69,'Week3'!$D:$D)+SUMIF('Week4'!$A:$A,$A69,'Week4'!$D:$D)</f>
        <v/>
      </c>
      <c r="E69" s="7">
        <f>SUMIF('Week1'!$A:$A,$A69,'Week1'!$E:$E)+SUMIF('Week2'!$A:$A,$A69,'Week2'!$E:$E)+SUMIF('Week3'!$A:$A,$A69,'Week3'!$E:$E)+SUMIF('Week4'!$A:$A,$A69,'Week4'!$E:$E)</f>
        <v/>
      </c>
      <c r="F69" s="7">
        <f>SUMIF('Week1'!$A:$A,$A69,'Week1'!$F:$F)+SUMIF('Week2'!$A:$A,$A69,'Week2'!$F:$F)+SUMIF('Week3'!$A:$A,$A69,'Week3'!$F:$F)+SUMIF('Week4'!$A:$A,$A69,'Week4'!$F:$F)</f>
        <v/>
      </c>
      <c r="G69" s="7">
        <f>SUMIF('Week1'!$A:$A,$A69,'Week1'!$G:$G)+SUMIF('Week2'!$A:$A,$A69,'Week2'!$G:$G)+SUMIF('Week3'!$A:$A,$A69,'Week3'!$G:$G)+SUMIF('Week4'!$A:$A,$A69,'Week4'!$G:$G)</f>
        <v/>
      </c>
      <c r="H69" s="7">
        <f>SUMIF('Week1'!$A:$A,$A69,'Week1'!$H:$H)+SUMIF('Week2'!$A:$A,$A69,'Week2'!$H:$H)+SUMIF('Week3'!$A:$A,$A69,'Week3'!$H:$H)+SUMIF('Week4'!$A:$A,$A69,'Week4'!$H:$H)</f>
        <v/>
      </c>
    </row>
    <row r="70">
      <c r="A70" s="6" t="inlineStr">
        <is>
          <t>S VARJANGUE</t>
        </is>
      </c>
      <c r="B70" s="6" t="inlineStr">
        <is>
          <t>PROD FORMING</t>
        </is>
      </c>
      <c r="C70" s="7" t="n">
        <v>528</v>
      </c>
      <c r="D70" s="7">
        <f>SUMIF('Week1'!$A:$A,$A70,'Week1'!$D:$D)+SUMIF('Week2'!$A:$A,$A70,'Week2'!$D:$D)+SUMIF('Week3'!$A:$A,$A70,'Week3'!$D:$D)+SUMIF('Week4'!$A:$A,$A70,'Week4'!$D:$D)</f>
        <v/>
      </c>
      <c r="E70" s="7">
        <f>SUMIF('Week1'!$A:$A,$A70,'Week1'!$E:$E)+SUMIF('Week2'!$A:$A,$A70,'Week2'!$E:$E)+SUMIF('Week3'!$A:$A,$A70,'Week3'!$E:$E)+SUMIF('Week4'!$A:$A,$A70,'Week4'!$E:$E)</f>
        <v/>
      </c>
      <c r="F70" s="7">
        <f>SUMIF('Week1'!$A:$A,$A70,'Week1'!$F:$F)+SUMIF('Week2'!$A:$A,$A70,'Week2'!$F:$F)+SUMIF('Week3'!$A:$A,$A70,'Week3'!$F:$F)+SUMIF('Week4'!$A:$A,$A70,'Week4'!$F:$F)</f>
        <v/>
      </c>
      <c r="G70" s="7">
        <f>SUMIF('Week1'!$A:$A,$A70,'Week1'!$G:$G)+SUMIF('Week2'!$A:$A,$A70,'Week2'!$G:$G)+SUMIF('Week3'!$A:$A,$A70,'Week3'!$G:$G)+SUMIF('Week4'!$A:$A,$A70,'Week4'!$G:$G)</f>
        <v/>
      </c>
      <c r="H70" s="7">
        <f>SUMIF('Week1'!$A:$A,$A70,'Week1'!$H:$H)+SUMIF('Week2'!$A:$A,$A70,'Week2'!$H:$H)+SUMIF('Week3'!$A:$A,$A70,'Week3'!$H:$H)+SUMIF('Week4'!$A:$A,$A70,'Week4'!$H:$H)</f>
        <v/>
      </c>
    </row>
    <row r="71">
      <c r="A71" s="6" t="inlineStr">
        <is>
          <t>A AKRITI</t>
        </is>
      </c>
      <c r="B71" s="6" t="inlineStr">
        <is>
          <t>PROD FRYING</t>
        </is>
      </c>
      <c r="C71" s="7" t="n">
        <v>709</v>
      </c>
      <c r="D71" s="7">
        <f>SUMIF('Week1'!$A:$A,$A71,'Week1'!$D:$D)+SUMIF('Week2'!$A:$A,$A71,'Week2'!$D:$D)+SUMIF('Week3'!$A:$A,$A71,'Week3'!$D:$D)+SUMIF('Week4'!$A:$A,$A71,'Week4'!$D:$D)</f>
        <v/>
      </c>
      <c r="E71" s="7">
        <f>SUMIF('Week1'!$A:$A,$A71,'Week1'!$E:$E)+SUMIF('Week2'!$A:$A,$A71,'Week2'!$E:$E)+SUMIF('Week3'!$A:$A,$A71,'Week3'!$E:$E)+SUMIF('Week4'!$A:$A,$A71,'Week4'!$E:$E)</f>
        <v/>
      </c>
      <c r="F71" s="7">
        <f>SUMIF('Week1'!$A:$A,$A71,'Week1'!$F:$F)+SUMIF('Week2'!$A:$A,$A71,'Week2'!$F:$F)+SUMIF('Week3'!$A:$A,$A71,'Week3'!$F:$F)+SUMIF('Week4'!$A:$A,$A71,'Week4'!$F:$F)</f>
        <v/>
      </c>
      <c r="G71" s="7">
        <f>SUMIF('Week1'!$A:$A,$A71,'Week1'!$G:$G)+SUMIF('Week2'!$A:$A,$A71,'Week2'!$G:$G)+SUMIF('Week3'!$A:$A,$A71,'Week3'!$G:$G)+SUMIF('Week4'!$A:$A,$A71,'Week4'!$G:$G)</f>
        <v/>
      </c>
      <c r="H71" s="7">
        <f>SUMIF('Week1'!$A:$A,$A71,'Week1'!$H:$H)+SUMIF('Week2'!$A:$A,$A71,'Week2'!$H:$H)+SUMIF('Week3'!$A:$A,$A71,'Week3'!$H:$H)+SUMIF('Week4'!$A:$A,$A71,'Week4'!$H:$H)</f>
        <v/>
      </c>
    </row>
    <row r="72">
      <c r="A72" s="6" t="inlineStr">
        <is>
          <t>R BAHADUR BHANDARI</t>
        </is>
      </c>
      <c r="B72" s="6" t="inlineStr">
        <is>
          <t>PROD FRYING</t>
        </is>
      </c>
      <c r="C72" s="7" t="n">
        <v>700</v>
      </c>
      <c r="D72" s="7">
        <f>SUMIF('Week1'!$A:$A,$A72,'Week1'!$D:$D)+SUMIF('Week2'!$A:$A,$A72,'Week2'!$D:$D)+SUMIF('Week3'!$A:$A,$A72,'Week3'!$D:$D)+SUMIF('Week4'!$A:$A,$A72,'Week4'!$D:$D)</f>
        <v/>
      </c>
      <c r="E72" s="7">
        <f>SUMIF('Week1'!$A:$A,$A72,'Week1'!$E:$E)+SUMIF('Week2'!$A:$A,$A72,'Week2'!$E:$E)+SUMIF('Week3'!$A:$A,$A72,'Week3'!$E:$E)+SUMIF('Week4'!$A:$A,$A72,'Week4'!$E:$E)</f>
        <v/>
      </c>
      <c r="F72" s="7">
        <f>SUMIF('Week1'!$A:$A,$A72,'Week1'!$F:$F)+SUMIF('Week2'!$A:$A,$A72,'Week2'!$F:$F)+SUMIF('Week3'!$A:$A,$A72,'Week3'!$F:$F)+SUMIF('Week4'!$A:$A,$A72,'Week4'!$F:$F)</f>
        <v/>
      </c>
      <c r="G72" s="7">
        <f>SUMIF('Week1'!$A:$A,$A72,'Week1'!$G:$G)+SUMIF('Week2'!$A:$A,$A72,'Week2'!$G:$G)+SUMIF('Week3'!$A:$A,$A72,'Week3'!$G:$G)+SUMIF('Week4'!$A:$A,$A72,'Week4'!$G:$G)</f>
        <v/>
      </c>
      <c r="H72" s="7">
        <f>SUMIF('Week1'!$A:$A,$A72,'Week1'!$H:$H)+SUMIF('Week2'!$A:$A,$A72,'Week2'!$H:$H)+SUMIF('Week3'!$A:$A,$A72,'Week3'!$H:$H)+SUMIF('Week4'!$A:$A,$A72,'Week4'!$H:$H)</f>
        <v/>
      </c>
    </row>
    <row r="73">
      <c r="A73" s="6" t="inlineStr">
        <is>
          <t>P BAHADUR JIREL</t>
        </is>
      </c>
      <c r="B73" s="6" t="inlineStr">
        <is>
          <t>PROD FRYING</t>
        </is>
      </c>
      <c r="C73" s="7" t="n">
        <v>578</v>
      </c>
      <c r="D73" s="7">
        <f>SUMIF('Week1'!$A:$A,$A73,'Week1'!$D:$D)+SUMIF('Week2'!$A:$A,$A73,'Week2'!$D:$D)+SUMIF('Week3'!$A:$A,$A73,'Week3'!$D:$D)+SUMIF('Week4'!$A:$A,$A73,'Week4'!$D:$D)</f>
        <v/>
      </c>
      <c r="E73" s="7">
        <f>SUMIF('Week1'!$A:$A,$A73,'Week1'!$E:$E)+SUMIF('Week2'!$A:$A,$A73,'Week2'!$E:$E)+SUMIF('Week3'!$A:$A,$A73,'Week3'!$E:$E)+SUMIF('Week4'!$A:$A,$A73,'Week4'!$E:$E)</f>
        <v/>
      </c>
      <c r="F73" s="7">
        <f>SUMIF('Week1'!$A:$A,$A73,'Week1'!$F:$F)+SUMIF('Week2'!$A:$A,$A73,'Week2'!$F:$F)+SUMIF('Week3'!$A:$A,$A73,'Week3'!$F:$F)+SUMIF('Week4'!$A:$A,$A73,'Week4'!$F:$F)</f>
        <v/>
      </c>
      <c r="G73" s="7">
        <f>SUMIF('Week1'!$A:$A,$A73,'Week1'!$G:$G)+SUMIF('Week2'!$A:$A,$A73,'Week2'!$G:$G)+SUMIF('Week3'!$A:$A,$A73,'Week3'!$G:$G)+SUMIF('Week4'!$A:$A,$A73,'Week4'!$G:$G)</f>
        <v/>
      </c>
      <c r="H73" s="7">
        <f>SUMIF('Week1'!$A:$A,$A73,'Week1'!$H:$H)+SUMIF('Week2'!$A:$A,$A73,'Week2'!$H:$H)+SUMIF('Week3'!$A:$A,$A73,'Week3'!$H:$H)+SUMIF('Week4'!$A:$A,$A73,'Week4'!$H:$H)</f>
        <v/>
      </c>
    </row>
    <row r="74">
      <c r="A74" s="6" t="inlineStr">
        <is>
          <t>L BUTIENE</t>
        </is>
      </c>
      <c r="B74" s="6" t="inlineStr">
        <is>
          <t>PROD FRYING</t>
        </is>
      </c>
      <c r="C74" s="7" t="n">
        <v>21</v>
      </c>
      <c r="D74" s="7">
        <f>SUMIF('Week1'!$A:$A,$A74,'Week1'!$D:$D)+SUMIF('Week2'!$A:$A,$A74,'Week2'!$D:$D)+SUMIF('Week3'!$A:$A,$A74,'Week3'!$D:$D)+SUMIF('Week4'!$A:$A,$A74,'Week4'!$D:$D)</f>
        <v/>
      </c>
      <c r="E74" s="7">
        <f>SUMIF('Week1'!$A:$A,$A74,'Week1'!$E:$E)+SUMIF('Week2'!$A:$A,$A74,'Week2'!$E:$E)+SUMIF('Week3'!$A:$A,$A74,'Week3'!$E:$E)+SUMIF('Week4'!$A:$A,$A74,'Week4'!$E:$E)</f>
        <v/>
      </c>
      <c r="F74" s="7">
        <f>SUMIF('Week1'!$A:$A,$A74,'Week1'!$F:$F)+SUMIF('Week2'!$A:$A,$A74,'Week2'!$F:$F)+SUMIF('Week3'!$A:$A,$A74,'Week3'!$F:$F)+SUMIF('Week4'!$A:$A,$A74,'Week4'!$F:$F)</f>
        <v/>
      </c>
      <c r="G74" s="7">
        <f>SUMIF('Week1'!$A:$A,$A74,'Week1'!$G:$G)+SUMIF('Week2'!$A:$A,$A74,'Week2'!$G:$G)+SUMIF('Week3'!$A:$A,$A74,'Week3'!$G:$G)+SUMIF('Week4'!$A:$A,$A74,'Week4'!$G:$G)</f>
        <v/>
      </c>
      <c r="H74" s="7">
        <f>SUMIF('Week1'!$A:$A,$A74,'Week1'!$H:$H)+SUMIF('Week2'!$A:$A,$A74,'Week2'!$H:$H)+SUMIF('Week3'!$A:$A,$A74,'Week3'!$H:$H)+SUMIF('Week4'!$A:$A,$A74,'Week4'!$H:$H)</f>
        <v/>
      </c>
    </row>
    <row r="75">
      <c r="A75" s="6" t="inlineStr">
        <is>
          <t>J HANSRAJBHAI VAGHASIYA</t>
        </is>
      </c>
      <c r="B75" s="6" t="inlineStr">
        <is>
          <t>PROD FRYING</t>
        </is>
      </c>
      <c r="C75" s="7" t="n">
        <v>740</v>
      </c>
      <c r="D75" s="7">
        <f>SUMIF('Week1'!$A:$A,$A75,'Week1'!$D:$D)+SUMIF('Week2'!$A:$A,$A75,'Week2'!$D:$D)+SUMIF('Week3'!$A:$A,$A75,'Week3'!$D:$D)+SUMIF('Week4'!$A:$A,$A75,'Week4'!$D:$D)</f>
        <v/>
      </c>
      <c r="E75" s="7">
        <f>SUMIF('Week1'!$A:$A,$A75,'Week1'!$E:$E)+SUMIF('Week2'!$A:$A,$A75,'Week2'!$E:$E)+SUMIF('Week3'!$A:$A,$A75,'Week3'!$E:$E)+SUMIF('Week4'!$A:$A,$A75,'Week4'!$E:$E)</f>
        <v/>
      </c>
      <c r="F75" s="7">
        <f>SUMIF('Week1'!$A:$A,$A75,'Week1'!$F:$F)+SUMIF('Week2'!$A:$A,$A75,'Week2'!$F:$F)+SUMIF('Week3'!$A:$A,$A75,'Week3'!$F:$F)+SUMIF('Week4'!$A:$A,$A75,'Week4'!$F:$F)</f>
        <v/>
      </c>
      <c r="G75" s="7">
        <f>SUMIF('Week1'!$A:$A,$A75,'Week1'!$G:$G)+SUMIF('Week2'!$A:$A,$A75,'Week2'!$G:$G)+SUMIF('Week3'!$A:$A,$A75,'Week3'!$G:$G)+SUMIF('Week4'!$A:$A,$A75,'Week4'!$G:$G)</f>
        <v/>
      </c>
      <c r="H75" s="7">
        <f>SUMIF('Week1'!$A:$A,$A75,'Week1'!$H:$H)+SUMIF('Week2'!$A:$A,$A75,'Week2'!$H:$H)+SUMIF('Week3'!$A:$A,$A75,'Week3'!$H:$H)+SUMIF('Week4'!$A:$A,$A75,'Week4'!$H:$H)</f>
        <v/>
      </c>
    </row>
    <row r="76">
      <c r="A76" s="6" t="inlineStr">
        <is>
          <t>D RAMA</t>
        </is>
      </c>
      <c r="B76" s="6" t="inlineStr">
        <is>
          <t>PROD FRYING</t>
        </is>
      </c>
      <c r="C76" s="7" t="n">
        <v>708</v>
      </c>
      <c r="D76" s="7">
        <f>SUMIF('Week1'!$A:$A,$A76,'Week1'!$D:$D)+SUMIF('Week2'!$A:$A,$A76,'Week2'!$D:$D)+SUMIF('Week3'!$A:$A,$A76,'Week3'!$D:$D)+SUMIF('Week4'!$A:$A,$A76,'Week4'!$D:$D)</f>
        <v/>
      </c>
      <c r="E76" s="7">
        <f>SUMIF('Week1'!$A:$A,$A76,'Week1'!$E:$E)+SUMIF('Week2'!$A:$A,$A76,'Week2'!$E:$E)+SUMIF('Week3'!$A:$A,$A76,'Week3'!$E:$E)+SUMIF('Week4'!$A:$A,$A76,'Week4'!$E:$E)</f>
        <v/>
      </c>
      <c r="F76" s="7">
        <f>SUMIF('Week1'!$A:$A,$A76,'Week1'!$F:$F)+SUMIF('Week2'!$A:$A,$A76,'Week2'!$F:$F)+SUMIF('Week3'!$A:$A,$A76,'Week3'!$F:$F)+SUMIF('Week4'!$A:$A,$A76,'Week4'!$F:$F)</f>
        <v/>
      </c>
      <c r="G76" s="7">
        <f>SUMIF('Week1'!$A:$A,$A76,'Week1'!$G:$G)+SUMIF('Week2'!$A:$A,$A76,'Week2'!$G:$G)+SUMIF('Week3'!$A:$A,$A76,'Week3'!$G:$G)+SUMIF('Week4'!$A:$A,$A76,'Week4'!$G:$G)</f>
        <v/>
      </c>
      <c r="H76" s="7">
        <f>SUMIF('Week1'!$A:$A,$A76,'Week1'!$H:$H)+SUMIF('Week2'!$A:$A,$A76,'Week2'!$H:$H)+SUMIF('Week3'!$A:$A,$A76,'Week3'!$H:$H)+SUMIF('Week4'!$A:$A,$A76,'Week4'!$H:$H)</f>
        <v/>
      </c>
    </row>
    <row r="77">
      <c r="A77" s="6" t="inlineStr">
        <is>
          <t>S RAMJI</t>
        </is>
      </c>
      <c r="B77" s="6" t="inlineStr">
        <is>
          <t>PROD FRYING</t>
        </is>
      </c>
      <c r="C77" s="7" t="n">
        <v>742</v>
      </c>
      <c r="D77" s="7">
        <f>SUMIF('Week1'!$A:$A,$A77,'Week1'!$D:$D)+SUMIF('Week2'!$A:$A,$A77,'Week2'!$D:$D)+SUMIF('Week3'!$A:$A,$A77,'Week3'!$D:$D)+SUMIF('Week4'!$A:$A,$A77,'Week4'!$D:$D)</f>
        <v/>
      </c>
      <c r="E77" s="7">
        <f>SUMIF('Week1'!$A:$A,$A77,'Week1'!$E:$E)+SUMIF('Week2'!$A:$A,$A77,'Week2'!$E:$E)+SUMIF('Week3'!$A:$A,$A77,'Week3'!$E:$E)+SUMIF('Week4'!$A:$A,$A77,'Week4'!$E:$E)</f>
        <v/>
      </c>
      <c r="F77" s="7">
        <f>SUMIF('Week1'!$A:$A,$A77,'Week1'!$F:$F)+SUMIF('Week2'!$A:$A,$A77,'Week2'!$F:$F)+SUMIF('Week3'!$A:$A,$A77,'Week3'!$F:$F)+SUMIF('Week4'!$A:$A,$A77,'Week4'!$F:$F)</f>
        <v/>
      </c>
      <c r="G77" s="7">
        <f>SUMIF('Week1'!$A:$A,$A77,'Week1'!$G:$G)+SUMIF('Week2'!$A:$A,$A77,'Week2'!$G:$G)+SUMIF('Week3'!$A:$A,$A77,'Week3'!$G:$G)+SUMIF('Week4'!$A:$A,$A77,'Week4'!$G:$G)</f>
        <v/>
      </c>
      <c r="H77" s="7">
        <f>SUMIF('Week1'!$A:$A,$A77,'Week1'!$H:$H)+SUMIF('Week2'!$A:$A,$A77,'Week2'!$H:$H)+SUMIF('Week3'!$A:$A,$A77,'Week3'!$H:$H)+SUMIF('Week4'!$A:$A,$A77,'Week4'!$H:$H)</f>
        <v/>
      </c>
    </row>
    <row r="78">
      <c r="A78" s="6" t="inlineStr">
        <is>
          <t>S ADHIKARI KARKI</t>
        </is>
      </c>
      <c r="B78" s="6" t="inlineStr">
        <is>
          <t>PROD PREPARATION</t>
        </is>
      </c>
      <c r="C78" s="7" t="n">
        <v>736</v>
      </c>
      <c r="D78" s="7">
        <f>SUMIF('Week1'!$A:$A,$A78,'Week1'!$D:$D)+SUMIF('Week2'!$A:$A,$A78,'Week2'!$D:$D)+SUMIF('Week3'!$A:$A,$A78,'Week3'!$D:$D)+SUMIF('Week4'!$A:$A,$A78,'Week4'!$D:$D)</f>
        <v/>
      </c>
      <c r="E78" s="7">
        <f>SUMIF('Week1'!$A:$A,$A78,'Week1'!$E:$E)+SUMIF('Week2'!$A:$A,$A78,'Week2'!$E:$E)+SUMIF('Week3'!$A:$A,$A78,'Week3'!$E:$E)+SUMIF('Week4'!$A:$A,$A78,'Week4'!$E:$E)</f>
        <v/>
      </c>
      <c r="F78" s="7">
        <f>SUMIF('Week1'!$A:$A,$A78,'Week1'!$F:$F)+SUMIF('Week2'!$A:$A,$A78,'Week2'!$F:$F)+SUMIF('Week3'!$A:$A,$A78,'Week3'!$F:$F)+SUMIF('Week4'!$A:$A,$A78,'Week4'!$F:$F)</f>
        <v/>
      </c>
      <c r="G78" s="7">
        <f>SUMIF('Week1'!$A:$A,$A78,'Week1'!$G:$G)+SUMIF('Week2'!$A:$A,$A78,'Week2'!$G:$G)+SUMIF('Week3'!$A:$A,$A78,'Week3'!$G:$G)+SUMIF('Week4'!$A:$A,$A78,'Week4'!$G:$G)</f>
        <v/>
      </c>
      <c r="H78" s="7">
        <f>SUMIF('Week1'!$A:$A,$A78,'Week1'!$H:$H)+SUMIF('Week2'!$A:$A,$A78,'Week2'!$H:$H)+SUMIF('Week3'!$A:$A,$A78,'Week3'!$H:$H)+SUMIF('Week4'!$A:$A,$A78,'Week4'!$H:$H)</f>
        <v/>
      </c>
    </row>
    <row r="79">
      <c r="A79" s="6" t="inlineStr">
        <is>
          <t>P CANGI</t>
        </is>
      </c>
      <c r="B79" s="6" t="inlineStr">
        <is>
          <t>PROD PREPARATION</t>
        </is>
      </c>
      <c r="C79" s="7" t="n">
        <v>483</v>
      </c>
      <c r="D79" s="7">
        <f>SUMIF('Week1'!$A:$A,$A79,'Week1'!$D:$D)+SUMIF('Week2'!$A:$A,$A79,'Week2'!$D:$D)+SUMIF('Week3'!$A:$A,$A79,'Week3'!$D:$D)+SUMIF('Week4'!$A:$A,$A79,'Week4'!$D:$D)</f>
        <v/>
      </c>
      <c r="E79" s="7">
        <f>SUMIF('Week1'!$A:$A,$A79,'Week1'!$E:$E)+SUMIF('Week2'!$A:$A,$A79,'Week2'!$E:$E)+SUMIF('Week3'!$A:$A,$A79,'Week3'!$E:$E)+SUMIF('Week4'!$A:$A,$A79,'Week4'!$E:$E)</f>
        <v/>
      </c>
      <c r="F79" s="7">
        <f>SUMIF('Week1'!$A:$A,$A79,'Week1'!$F:$F)+SUMIF('Week2'!$A:$A,$A79,'Week2'!$F:$F)+SUMIF('Week3'!$A:$A,$A79,'Week3'!$F:$F)+SUMIF('Week4'!$A:$A,$A79,'Week4'!$F:$F)</f>
        <v/>
      </c>
      <c r="G79" s="7">
        <f>SUMIF('Week1'!$A:$A,$A79,'Week1'!$G:$G)+SUMIF('Week2'!$A:$A,$A79,'Week2'!$G:$G)+SUMIF('Week3'!$A:$A,$A79,'Week3'!$G:$G)+SUMIF('Week4'!$A:$A,$A79,'Week4'!$G:$G)</f>
        <v/>
      </c>
      <c r="H79" s="7">
        <f>SUMIF('Week1'!$A:$A,$A79,'Week1'!$H:$H)+SUMIF('Week2'!$A:$A,$A79,'Week2'!$H:$H)+SUMIF('Week3'!$A:$A,$A79,'Week3'!$H:$H)+SUMIF('Week4'!$A:$A,$A79,'Week4'!$H:$H)</f>
        <v/>
      </c>
    </row>
    <row r="80">
      <c r="A80" s="6" t="inlineStr">
        <is>
          <t>R FRANCISCO FERNANDES</t>
        </is>
      </c>
      <c r="B80" s="6" t="inlineStr">
        <is>
          <t>PROD PREPARATION</t>
        </is>
      </c>
      <c r="C80" s="7" t="n">
        <v>613</v>
      </c>
      <c r="D80" s="7">
        <f>SUMIF('Week1'!$A:$A,$A80,'Week1'!$D:$D)+SUMIF('Week2'!$A:$A,$A80,'Week2'!$D:$D)+SUMIF('Week3'!$A:$A,$A80,'Week3'!$D:$D)+SUMIF('Week4'!$A:$A,$A80,'Week4'!$D:$D)</f>
        <v/>
      </c>
      <c r="E80" s="7">
        <f>SUMIF('Week1'!$A:$A,$A80,'Week1'!$E:$E)+SUMIF('Week2'!$A:$A,$A80,'Week2'!$E:$E)+SUMIF('Week3'!$A:$A,$A80,'Week3'!$E:$E)+SUMIF('Week4'!$A:$A,$A80,'Week4'!$E:$E)</f>
        <v/>
      </c>
      <c r="F80" s="7">
        <f>SUMIF('Week1'!$A:$A,$A80,'Week1'!$F:$F)+SUMIF('Week2'!$A:$A,$A80,'Week2'!$F:$F)+SUMIF('Week3'!$A:$A,$A80,'Week3'!$F:$F)+SUMIF('Week4'!$A:$A,$A80,'Week4'!$F:$F)</f>
        <v/>
      </c>
      <c r="G80" s="7">
        <f>SUMIF('Week1'!$A:$A,$A80,'Week1'!$G:$G)+SUMIF('Week2'!$A:$A,$A80,'Week2'!$G:$G)+SUMIF('Week3'!$A:$A,$A80,'Week3'!$G:$G)+SUMIF('Week4'!$A:$A,$A80,'Week4'!$G:$G)</f>
        <v/>
      </c>
      <c r="H80" s="7">
        <f>SUMIF('Week1'!$A:$A,$A80,'Week1'!$H:$H)+SUMIF('Week2'!$A:$A,$A80,'Week2'!$H:$H)+SUMIF('Week3'!$A:$A,$A80,'Week3'!$H:$H)+SUMIF('Week4'!$A:$A,$A80,'Week4'!$H:$H)</f>
        <v/>
      </c>
    </row>
    <row r="81">
      <c r="A81" s="6" t="inlineStr">
        <is>
          <t>Y JAGDISH</t>
        </is>
      </c>
      <c r="B81" s="6" t="inlineStr">
        <is>
          <t>PROD PREPARATION</t>
        </is>
      </c>
      <c r="C81" s="7" t="n">
        <v>745</v>
      </c>
      <c r="D81" s="7">
        <f>SUMIF('Week1'!$A:$A,$A81,'Week1'!$D:$D)+SUMIF('Week2'!$A:$A,$A81,'Week2'!$D:$D)+SUMIF('Week3'!$A:$A,$A81,'Week3'!$D:$D)+SUMIF('Week4'!$A:$A,$A81,'Week4'!$D:$D)</f>
        <v/>
      </c>
      <c r="E81" s="7">
        <f>SUMIF('Week1'!$A:$A,$A81,'Week1'!$E:$E)+SUMIF('Week2'!$A:$A,$A81,'Week2'!$E:$E)+SUMIF('Week3'!$A:$A,$A81,'Week3'!$E:$E)+SUMIF('Week4'!$A:$A,$A81,'Week4'!$E:$E)</f>
        <v/>
      </c>
      <c r="F81" s="7">
        <f>SUMIF('Week1'!$A:$A,$A81,'Week1'!$F:$F)+SUMIF('Week2'!$A:$A,$A81,'Week2'!$F:$F)+SUMIF('Week3'!$A:$A,$A81,'Week3'!$F:$F)+SUMIF('Week4'!$A:$A,$A81,'Week4'!$F:$F)</f>
        <v/>
      </c>
      <c r="G81" s="7">
        <f>SUMIF('Week1'!$A:$A,$A81,'Week1'!$G:$G)+SUMIF('Week2'!$A:$A,$A81,'Week2'!$G:$G)+SUMIF('Week3'!$A:$A,$A81,'Week3'!$G:$G)+SUMIF('Week4'!$A:$A,$A81,'Week4'!$G:$G)</f>
        <v/>
      </c>
      <c r="H81" s="7">
        <f>SUMIF('Week1'!$A:$A,$A81,'Week1'!$H:$H)+SUMIF('Week2'!$A:$A,$A81,'Week2'!$H:$H)+SUMIF('Week3'!$A:$A,$A81,'Week3'!$H:$H)+SUMIF('Week4'!$A:$A,$A81,'Week4'!$H:$H)</f>
        <v/>
      </c>
    </row>
    <row r="82">
      <c r="A82" s="6" t="inlineStr">
        <is>
          <t>C JOAO DA SILVA</t>
        </is>
      </c>
      <c r="B82" s="6" t="inlineStr">
        <is>
          <t>PROD PREPARATION</t>
        </is>
      </c>
      <c r="C82" s="7" t="n">
        <v>627</v>
      </c>
      <c r="D82" s="7">
        <f>SUMIF('Week1'!$A:$A,$A82,'Week1'!$D:$D)+SUMIF('Week2'!$A:$A,$A82,'Week2'!$D:$D)+SUMIF('Week3'!$A:$A,$A82,'Week3'!$D:$D)+SUMIF('Week4'!$A:$A,$A82,'Week4'!$D:$D)</f>
        <v/>
      </c>
      <c r="E82" s="7">
        <f>SUMIF('Week1'!$A:$A,$A82,'Week1'!$E:$E)+SUMIF('Week2'!$A:$A,$A82,'Week2'!$E:$E)+SUMIF('Week3'!$A:$A,$A82,'Week3'!$E:$E)+SUMIF('Week4'!$A:$A,$A82,'Week4'!$E:$E)</f>
        <v/>
      </c>
      <c r="F82" s="7">
        <f>SUMIF('Week1'!$A:$A,$A82,'Week1'!$F:$F)+SUMIF('Week2'!$A:$A,$A82,'Week2'!$F:$F)+SUMIF('Week3'!$A:$A,$A82,'Week3'!$F:$F)+SUMIF('Week4'!$A:$A,$A82,'Week4'!$F:$F)</f>
        <v/>
      </c>
      <c r="G82" s="7">
        <f>SUMIF('Week1'!$A:$A,$A82,'Week1'!$G:$G)+SUMIF('Week2'!$A:$A,$A82,'Week2'!$G:$G)+SUMIF('Week3'!$A:$A,$A82,'Week3'!$G:$G)+SUMIF('Week4'!$A:$A,$A82,'Week4'!$G:$G)</f>
        <v/>
      </c>
      <c r="H82" s="7">
        <f>SUMIF('Week1'!$A:$A,$A82,'Week1'!$H:$H)+SUMIF('Week2'!$A:$A,$A82,'Week2'!$H:$H)+SUMIF('Week3'!$A:$A,$A82,'Week3'!$H:$H)+SUMIF('Week4'!$A:$A,$A82,'Week4'!$H:$H)</f>
        <v/>
      </c>
    </row>
    <row r="83">
      <c r="A83" s="6" t="inlineStr">
        <is>
          <t>E KACZMAREK</t>
        </is>
      </c>
      <c r="B83" s="6" t="inlineStr">
        <is>
          <t>PROD PREPARATION</t>
        </is>
      </c>
      <c r="C83" s="7" t="n">
        <v>263</v>
      </c>
      <c r="D83" s="7">
        <f>SUMIF('Week1'!$A:$A,$A83,'Week1'!$D:$D)+SUMIF('Week2'!$A:$A,$A83,'Week2'!$D:$D)+SUMIF('Week3'!$A:$A,$A83,'Week3'!$D:$D)+SUMIF('Week4'!$A:$A,$A83,'Week4'!$D:$D)</f>
        <v/>
      </c>
      <c r="E83" s="7">
        <f>SUMIF('Week1'!$A:$A,$A83,'Week1'!$E:$E)+SUMIF('Week2'!$A:$A,$A83,'Week2'!$E:$E)+SUMIF('Week3'!$A:$A,$A83,'Week3'!$E:$E)+SUMIF('Week4'!$A:$A,$A83,'Week4'!$E:$E)</f>
        <v/>
      </c>
      <c r="F83" s="7">
        <f>SUMIF('Week1'!$A:$A,$A83,'Week1'!$F:$F)+SUMIF('Week2'!$A:$A,$A83,'Week2'!$F:$F)+SUMIF('Week3'!$A:$A,$A83,'Week3'!$F:$F)+SUMIF('Week4'!$A:$A,$A83,'Week4'!$F:$F)</f>
        <v/>
      </c>
      <c r="G83" s="7">
        <f>SUMIF('Week1'!$A:$A,$A83,'Week1'!$G:$G)+SUMIF('Week2'!$A:$A,$A83,'Week2'!$G:$G)+SUMIF('Week3'!$A:$A,$A83,'Week3'!$G:$G)+SUMIF('Week4'!$A:$A,$A83,'Week4'!$G:$G)</f>
        <v/>
      </c>
      <c r="H83" s="7">
        <f>SUMIF('Week1'!$A:$A,$A83,'Week1'!$H:$H)+SUMIF('Week2'!$A:$A,$A83,'Week2'!$H:$H)+SUMIF('Week3'!$A:$A,$A83,'Week3'!$H:$H)+SUMIF('Week4'!$A:$A,$A83,'Week4'!$H:$H)</f>
        <v/>
      </c>
    </row>
    <row r="84">
      <c r="A84" s="6" t="inlineStr">
        <is>
          <t>F MINGUEL</t>
        </is>
      </c>
      <c r="B84" s="6" t="inlineStr">
        <is>
          <t>PROD PREPARATION</t>
        </is>
      </c>
      <c r="C84" s="7" t="n">
        <v>485</v>
      </c>
      <c r="D84" s="7">
        <f>SUMIF('Week1'!$A:$A,$A84,'Week1'!$D:$D)+SUMIF('Week2'!$A:$A,$A84,'Week2'!$D:$D)+SUMIF('Week3'!$A:$A,$A84,'Week3'!$D:$D)+SUMIF('Week4'!$A:$A,$A84,'Week4'!$D:$D)</f>
        <v/>
      </c>
      <c r="E84" s="7">
        <f>SUMIF('Week1'!$A:$A,$A84,'Week1'!$E:$E)+SUMIF('Week2'!$A:$A,$A84,'Week2'!$E:$E)+SUMIF('Week3'!$A:$A,$A84,'Week3'!$E:$E)+SUMIF('Week4'!$A:$A,$A84,'Week4'!$E:$E)</f>
        <v/>
      </c>
      <c r="F84" s="7">
        <f>SUMIF('Week1'!$A:$A,$A84,'Week1'!$F:$F)+SUMIF('Week2'!$A:$A,$A84,'Week2'!$F:$F)+SUMIF('Week3'!$A:$A,$A84,'Week3'!$F:$F)+SUMIF('Week4'!$A:$A,$A84,'Week4'!$F:$F)</f>
        <v/>
      </c>
      <c r="G84" s="7">
        <f>SUMIF('Week1'!$A:$A,$A84,'Week1'!$G:$G)+SUMIF('Week2'!$A:$A,$A84,'Week2'!$G:$G)+SUMIF('Week3'!$A:$A,$A84,'Week3'!$G:$G)+SUMIF('Week4'!$A:$A,$A84,'Week4'!$G:$G)</f>
        <v/>
      </c>
      <c r="H84" s="7">
        <f>SUMIF('Week1'!$A:$A,$A84,'Week1'!$H:$H)+SUMIF('Week2'!$A:$A,$A84,'Week2'!$H:$H)+SUMIF('Week3'!$A:$A,$A84,'Week3'!$H:$H)+SUMIF('Week4'!$A:$A,$A84,'Week4'!$H:$H)</f>
        <v/>
      </c>
    </row>
    <row r="85">
      <c r="A85" s="6" t="inlineStr">
        <is>
          <t>L PEREIRA</t>
        </is>
      </c>
      <c r="B85" s="6" t="inlineStr">
        <is>
          <t>PROD PREPARATION</t>
        </is>
      </c>
      <c r="C85" s="7" t="n">
        <v>583</v>
      </c>
      <c r="D85" s="7">
        <f>SUMIF('Week1'!$A:$A,$A85,'Week1'!$D:$D)+SUMIF('Week2'!$A:$A,$A85,'Week2'!$D:$D)+SUMIF('Week3'!$A:$A,$A85,'Week3'!$D:$D)+SUMIF('Week4'!$A:$A,$A85,'Week4'!$D:$D)</f>
        <v/>
      </c>
      <c r="E85" s="7">
        <f>SUMIF('Week1'!$A:$A,$A85,'Week1'!$E:$E)+SUMIF('Week2'!$A:$A,$A85,'Week2'!$E:$E)+SUMIF('Week3'!$A:$A,$A85,'Week3'!$E:$E)+SUMIF('Week4'!$A:$A,$A85,'Week4'!$E:$E)</f>
        <v/>
      </c>
      <c r="F85" s="7">
        <f>SUMIF('Week1'!$A:$A,$A85,'Week1'!$F:$F)+SUMIF('Week2'!$A:$A,$A85,'Week2'!$F:$F)+SUMIF('Week3'!$A:$A,$A85,'Week3'!$F:$F)+SUMIF('Week4'!$A:$A,$A85,'Week4'!$F:$F)</f>
        <v/>
      </c>
      <c r="G85" s="7">
        <f>SUMIF('Week1'!$A:$A,$A85,'Week1'!$G:$G)+SUMIF('Week2'!$A:$A,$A85,'Week2'!$G:$G)+SUMIF('Week3'!$A:$A,$A85,'Week3'!$G:$G)+SUMIF('Week4'!$A:$A,$A85,'Week4'!$G:$G)</f>
        <v/>
      </c>
      <c r="H85" s="7">
        <f>SUMIF('Week1'!$A:$A,$A85,'Week1'!$H:$H)+SUMIF('Week2'!$A:$A,$A85,'Week2'!$H:$H)+SUMIF('Week3'!$A:$A,$A85,'Week3'!$H:$H)+SUMIF('Week4'!$A:$A,$A85,'Week4'!$H:$H)</f>
        <v/>
      </c>
    </row>
    <row r="86">
      <c r="A86" s="6" t="inlineStr">
        <is>
          <t>A SILVA</t>
        </is>
      </c>
      <c r="B86" s="6" t="inlineStr">
        <is>
          <t>PROD PREPARATION</t>
        </is>
      </c>
      <c r="C86" s="7" t="n">
        <v>546</v>
      </c>
      <c r="D86" s="7">
        <f>SUMIF('Week1'!$A:$A,$A86,'Week1'!$D:$D)+SUMIF('Week2'!$A:$A,$A86,'Week2'!$D:$D)+SUMIF('Week3'!$A:$A,$A86,'Week3'!$D:$D)+SUMIF('Week4'!$A:$A,$A86,'Week4'!$D:$D)</f>
        <v/>
      </c>
      <c r="E86" s="7">
        <f>SUMIF('Week1'!$A:$A,$A86,'Week1'!$E:$E)+SUMIF('Week2'!$A:$A,$A86,'Week2'!$E:$E)+SUMIF('Week3'!$A:$A,$A86,'Week3'!$E:$E)+SUMIF('Week4'!$A:$A,$A86,'Week4'!$E:$E)</f>
        <v/>
      </c>
      <c r="F86" s="7">
        <f>SUMIF('Week1'!$A:$A,$A86,'Week1'!$F:$F)+SUMIF('Week2'!$A:$A,$A86,'Week2'!$F:$F)+SUMIF('Week3'!$A:$A,$A86,'Week3'!$F:$F)+SUMIF('Week4'!$A:$A,$A86,'Week4'!$F:$F)</f>
        <v/>
      </c>
      <c r="G86" s="7">
        <f>SUMIF('Week1'!$A:$A,$A86,'Week1'!$G:$G)+SUMIF('Week2'!$A:$A,$A86,'Week2'!$G:$G)+SUMIF('Week3'!$A:$A,$A86,'Week3'!$G:$G)+SUMIF('Week4'!$A:$A,$A86,'Week4'!$G:$G)</f>
        <v/>
      </c>
      <c r="H86" s="7">
        <f>SUMIF('Week1'!$A:$A,$A86,'Week1'!$H:$H)+SUMIF('Week2'!$A:$A,$A86,'Week2'!$H:$H)+SUMIF('Week3'!$A:$A,$A86,'Week3'!$H:$H)+SUMIF('Week4'!$A:$A,$A86,'Week4'!$H:$H)</f>
        <v/>
      </c>
    </row>
    <row r="87">
      <c r="A87" s="6" t="inlineStr">
        <is>
          <t>G SINGH</t>
        </is>
      </c>
      <c r="B87" s="6" t="inlineStr">
        <is>
          <t>PROD PREPARATION</t>
        </is>
      </c>
      <c r="C87" s="7" t="n">
        <v>675</v>
      </c>
      <c r="D87" s="7">
        <f>SUMIF('Week1'!$A:$A,$A87,'Week1'!$D:$D)+SUMIF('Week2'!$A:$A,$A87,'Week2'!$D:$D)+SUMIF('Week3'!$A:$A,$A87,'Week3'!$D:$D)+SUMIF('Week4'!$A:$A,$A87,'Week4'!$D:$D)</f>
        <v/>
      </c>
      <c r="E87" s="7">
        <f>SUMIF('Week1'!$A:$A,$A87,'Week1'!$E:$E)+SUMIF('Week2'!$A:$A,$A87,'Week2'!$E:$E)+SUMIF('Week3'!$A:$A,$A87,'Week3'!$E:$E)+SUMIF('Week4'!$A:$A,$A87,'Week4'!$E:$E)</f>
        <v/>
      </c>
      <c r="F87" s="7">
        <f>SUMIF('Week1'!$A:$A,$A87,'Week1'!$F:$F)+SUMIF('Week2'!$A:$A,$A87,'Week2'!$F:$F)+SUMIF('Week3'!$A:$A,$A87,'Week3'!$F:$F)+SUMIF('Week4'!$A:$A,$A87,'Week4'!$F:$F)</f>
        <v/>
      </c>
      <c r="G87" s="7">
        <f>SUMIF('Week1'!$A:$A,$A87,'Week1'!$G:$G)+SUMIF('Week2'!$A:$A,$A87,'Week2'!$G:$G)+SUMIF('Week3'!$A:$A,$A87,'Week3'!$G:$G)+SUMIF('Week4'!$A:$A,$A87,'Week4'!$G:$G)</f>
        <v/>
      </c>
      <c r="H87" s="7">
        <f>SUMIF('Week1'!$A:$A,$A87,'Week1'!$H:$H)+SUMIF('Week2'!$A:$A,$A87,'Week2'!$H:$H)+SUMIF('Week3'!$A:$A,$A87,'Week3'!$H:$H)+SUMIF('Week4'!$A:$A,$A87,'Week4'!$H:$H)</f>
        <v/>
      </c>
    </row>
    <row r="88">
      <c r="A88" s="6" t="inlineStr">
        <is>
          <t>R VIRA</t>
        </is>
      </c>
      <c r="B88" s="6" t="inlineStr">
        <is>
          <t>PROD PREPARATION</t>
        </is>
      </c>
      <c r="C88" s="7" t="n">
        <v>728</v>
      </c>
      <c r="D88" s="7">
        <f>SUMIF('Week1'!$A:$A,$A88,'Week1'!$D:$D)+SUMIF('Week2'!$A:$A,$A88,'Week2'!$D:$D)+SUMIF('Week3'!$A:$A,$A88,'Week3'!$D:$D)+SUMIF('Week4'!$A:$A,$A88,'Week4'!$D:$D)</f>
        <v/>
      </c>
      <c r="E88" s="7">
        <f>SUMIF('Week1'!$A:$A,$A88,'Week1'!$E:$E)+SUMIF('Week2'!$A:$A,$A88,'Week2'!$E:$E)+SUMIF('Week3'!$A:$A,$A88,'Week3'!$E:$E)+SUMIF('Week4'!$A:$A,$A88,'Week4'!$E:$E)</f>
        <v/>
      </c>
      <c r="F88" s="7">
        <f>SUMIF('Week1'!$A:$A,$A88,'Week1'!$F:$F)+SUMIF('Week2'!$A:$A,$A88,'Week2'!$F:$F)+SUMIF('Week3'!$A:$A,$A88,'Week3'!$F:$F)+SUMIF('Week4'!$A:$A,$A88,'Week4'!$F:$F)</f>
        <v/>
      </c>
      <c r="G88" s="7">
        <f>SUMIF('Week1'!$A:$A,$A88,'Week1'!$G:$G)+SUMIF('Week2'!$A:$A,$A88,'Week2'!$G:$G)+SUMIF('Week3'!$A:$A,$A88,'Week3'!$G:$G)+SUMIF('Week4'!$A:$A,$A88,'Week4'!$G:$G)</f>
        <v/>
      </c>
      <c r="H88" s="7">
        <f>SUMIF('Week1'!$A:$A,$A88,'Week1'!$H:$H)+SUMIF('Week2'!$A:$A,$A88,'Week2'!$H:$H)+SUMIF('Week3'!$A:$A,$A88,'Week3'!$H:$H)+SUMIF('Week4'!$A:$A,$A88,'Week4'!$H:$H)</f>
        <v/>
      </c>
    </row>
    <row r="89">
      <c r="A89" s="6" t="inlineStr">
        <is>
          <t>M HIMANSHU</t>
        </is>
      </c>
      <c r="B89" s="6" t="inlineStr">
        <is>
          <t>PROD TABLE</t>
        </is>
      </c>
      <c r="C89" s="7" t="n">
        <v>702</v>
      </c>
      <c r="D89" s="7">
        <f>SUMIF('Week1'!$A:$A,$A89,'Week1'!$D:$D)+SUMIF('Week2'!$A:$A,$A89,'Week2'!$D:$D)+SUMIF('Week3'!$A:$A,$A89,'Week3'!$D:$D)+SUMIF('Week4'!$A:$A,$A89,'Week4'!$D:$D)</f>
        <v/>
      </c>
      <c r="E89" s="7">
        <f>SUMIF('Week1'!$A:$A,$A89,'Week1'!$E:$E)+SUMIF('Week2'!$A:$A,$A89,'Week2'!$E:$E)+SUMIF('Week3'!$A:$A,$A89,'Week3'!$E:$E)+SUMIF('Week4'!$A:$A,$A89,'Week4'!$E:$E)</f>
        <v/>
      </c>
      <c r="F89" s="7">
        <f>SUMIF('Week1'!$A:$A,$A89,'Week1'!$F:$F)+SUMIF('Week2'!$A:$A,$A89,'Week2'!$F:$F)+SUMIF('Week3'!$A:$A,$A89,'Week3'!$F:$F)+SUMIF('Week4'!$A:$A,$A89,'Week4'!$F:$F)</f>
        <v/>
      </c>
      <c r="G89" s="7">
        <f>SUMIF('Week1'!$A:$A,$A89,'Week1'!$G:$G)+SUMIF('Week2'!$A:$A,$A89,'Week2'!$G:$G)+SUMIF('Week3'!$A:$A,$A89,'Week3'!$G:$G)+SUMIF('Week4'!$A:$A,$A89,'Week4'!$G:$G)</f>
        <v/>
      </c>
      <c r="H89" s="7">
        <f>SUMIF('Week1'!$A:$A,$A89,'Week1'!$H:$H)+SUMIF('Week2'!$A:$A,$A89,'Week2'!$H:$H)+SUMIF('Week3'!$A:$A,$A89,'Week3'!$H:$H)+SUMIF('Week4'!$A:$A,$A89,'Week4'!$H:$H)</f>
        <v/>
      </c>
    </row>
    <row r="90">
      <c r="A90" s="6" t="inlineStr">
        <is>
          <t>B IRA</t>
        </is>
      </c>
      <c r="B90" s="6" t="inlineStr">
        <is>
          <t>PROD TABLE</t>
        </is>
      </c>
      <c r="C90" s="7" t="n">
        <v>703</v>
      </c>
      <c r="D90" s="7">
        <f>SUMIF('Week1'!$A:$A,$A90,'Week1'!$D:$D)+SUMIF('Week2'!$A:$A,$A90,'Week2'!$D:$D)+SUMIF('Week3'!$A:$A,$A90,'Week3'!$D:$D)+SUMIF('Week4'!$A:$A,$A90,'Week4'!$D:$D)</f>
        <v/>
      </c>
      <c r="E90" s="7">
        <f>SUMIF('Week1'!$A:$A,$A90,'Week1'!$E:$E)+SUMIF('Week2'!$A:$A,$A90,'Week2'!$E:$E)+SUMIF('Week3'!$A:$A,$A90,'Week3'!$E:$E)+SUMIF('Week4'!$A:$A,$A90,'Week4'!$E:$E)</f>
        <v/>
      </c>
      <c r="F90" s="7">
        <f>SUMIF('Week1'!$A:$A,$A90,'Week1'!$F:$F)+SUMIF('Week2'!$A:$A,$A90,'Week2'!$F:$F)+SUMIF('Week3'!$A:$A,$A90,'Week3'!$F:$F)+SUMIF('Week4'!$A:$A,$A90,'Week4'!$F:$F)</f>
        <v/>
      </c>
      <c r="G90" s="7">
        <f>SUMIF('Week1'!$A:$A,$A90,'Week1'!$G:$G)+SUMIF('Week2'!$A:$A,$A90,'Week2'!$G:$G)+SUMIF('Week3'!$A:$A,$A90,'Week3'!$G:$G)+SUMIF('Week4'!$A:$A,$A90,'Week4'!$G:$G)</f>
        <v/>
      </c>
      <c r="H90" s="7">
        <f>SUMIF('Week1'!$A:$A,$A90,'Week1'!$H:$H)+SUMIF('Week2'!$A:$A,$A90,'Week2'!$H:$H)+SUMIF('Week3'!$A:$A,$A90,'Week3'!$H:$H)+SUMIF('Week4'!$A:$A,$A90,'Week4'!$H:$H)</f>
        <v/>
      </c>
    </row>
    <row r="91">
      <c r="A91" s="6" t="inlineStr">
        <is>
          <t>S JIREL</t>
        </is>
      </c>
      <c r="B91" s="6" t="inlineStr">
        <is>
          <t>PROD TABLE</t>
        </is>
      </c>
      <c r="C91" s="7" t="n">
        <v>711</v>
      </c>
      <c r="D91" s="7">
        <f>SUMIF('Week1'!$A:$A,$A91,'Week1'!$D:$D)+SUMIF('Week2'!$A:$A,$A91,'Week2'!$D:$D)+SUMIF('Week3'!$A:$A,$A91,'Week3'!$D:$D)+SUMIF('Week4'!$A:$A,$A91,'Week4'!$D:$D)</f>
        <v/>
      </c>
      <c r="E91" s="7">
        <f>SUMIF('Week1'!$A:$A,$A91,'Week1'!$E:$E)+SUMIF('Week2'!$A:$A,$A91,'Week2'!$E:$E)+SUMIF('Week3'!$A:$A,$A91,'Week3'!$E:$E)+SUMIF('Week4'!$A:$A,$A91,'Week4'!$E:$E)</f>
        <v/>
      </c>
      <c r="F91" s="7">
        <f>SUMIF('Week1'!$A:$A,$A91,'Week1'!$F:$F)+SUMIF('Week2'!$A:$A,$A91,'Week2'!$F:$F)+SUMIF('Week3'!$A:$A,$A91,'Week3'!$F:$F)+SUMIF('Week4'!$A:$A,$A91,'Week4'!$F:$F)</f>
        <v/>
      </c>
      <c r="G91" s="7">
        <f>SUMIF('Week1'!$A:$A,$A91,'Week1'!$G:$G)+SUMIF('Week2'!$A:$A,$A91,'Week2'!$G:$G)+SUMIF('Week3'!$A:$A,$A91,'Week3'!$G:$G)+SUMIF('Week4'!$A:$A,$A91,'Week4'!$G:$G)</f>
        <v/>
      </c>
      <c r="H91" s="7">
        <f>SUMIF('Week1'!$A:$A,$A91,'Week1'!$H:$H)+SUMIF('Week2'!$A:$A,$A91,'Week2'!$H:$H)+SUMIF('Week3'!$A:$A,$A91,'Week3'!$H:$H)+SUMIF('Week4'!$A:$A,$A91,'Week4'!$H:$H)</f>
        <v/>
      </c>
    </row>
    <row r="92">
      <c r="A92" s="6" t="inlineStr">
        <is>
          <t>P LACMANE</t>
        </is>
      </c>
      <c r="B92" s="6" t="inlineStr">
        <is>
          <t>PROD TABLE</t>
        </is>
      </c>
      <c r="C92" s="7" t="n">
        <v>440</v>
      </c>
      <c r="D92" s="7">
        <f>SUMIF('Week1'!$A:$A,$A92,'Week1'!$D:$D)+SUMIF('Week2'!$A:$A,$A92,'Week2'!$D:$D)+SUMIF('Week3'!$A:$A,$A92,'Week3'!$D:$D)+SUMIF('Week4'!$A:$A,$A92,'Week4'!$D:$D)</f>
        <v/>
      </c>
      <c r="E92" s="7">
        <f>SUMIF('Week1'!$A:$A,$A92,'Week1'!$E:$E)+SUMIF('Week2'!$A:$A,$A92,'Week2'!$E:$E)+SUMIF('Week3'!$A:$A,$A92,'Week3'!$E:$E)+SUMIF('Week4'!$A:$A,$A92,'Week4'!$E:$E)</f>
        <v/>
      </c>
      <c r="F92" s="7">
        <f>SUMIF('Week1'!$A:$A,$A92,'Week1'!$F:$F)+SUMIF('Week2'!$A:$A,$A92,'Week2'!$F:$F)+SUMIF('Week3'!$A:$A,$A92,'Week3'!$F:$F)+SUMIF('Week4'!$A:$A,$A92,'Week4'!$F:$F)</f>
        <v/>
      </c>
      <c r="G92" s="7">
        <f>SUMIF('Week1'!$A:$A,$A92,'Week1'!$G:$G)+SUMIF('Week2'!$A:$A,$A92,'Week2'!$G:$G)+SUMIF('Week3'!$A:$A,$A92,'Week3'!$G:$G)+SUMIF('Week4'!$A:$A,$A92,'Week4'!$G:$G)</f>
        <v/>
      </c>
      <c r="H92" s="7">
        <f>SUMIF('Week1'!$A:$A,$A92,'Week1'!$H:$H)+SUMIF('Week2'!$A:$A,$A92,'Week2'!$H:$H)+SUMIF('Week3'!$A:$A,$A92,'Week3'!$H:$H)+SUMIF('Week4'!$A:$A,$A92,'Week4'!$H:$H)</f>
        <v/>
      </c>
    </row>
    <row r="93">
      <c r="A93" s="6" t="inlineStr">
        <is>
          <t>R RATNA</t>
        </is>
      </c>
      <c r="B93" s="6" t="inlineStr">
        <is>
          <t>PROD TABLE</t>
        </is>
      </c>
      <c r="C93" s="7" t="n">
        <v>615</v>
      </c>
      <c r="D93" s="7">
        <f>SUMIF('Week1'!$A:$A,$A93,'Week1'!$D:$D)+SUMIF('Week2'!$A:$A,$A93,'Week2'!$D:$D)+SUMIF('Week3'!$A:$A,$A93,'Week3'!$D:$D)+SUMIF('Week4'!$A:$A,$A93,'Week4'!$D:$D)</f>
        <v/>
      </c>
      <c r="E93" s="7">
        <f>SUMIF('Week1'!$A:$A,$A93,'Week1'!$E:$E)+SUMIF('Week2'!$A:$A,$A93,'Week2'!$E:$E)+SUMIF('Week3'!$A:$A,$A93,'Week3'!$E:$E)+SUMIF('Week4'!$A:$A,$A93,'Week4'!$E:$E)</f>
        <v/>
      </c>
      <c r="F93" s="7">
        <f>SUMIF('Week1'!$A:$A,$A93,'Week1'!$F:$F)+SUMIF('Week2'!$A:$A,$A93,'Week2'!$F:$F)+SUMIF('Week3'!$A:$A,$A93,'Week3'!$F:$F)+SUMIF('Week4'!$A:$A,$A93,'Week4'!$F:$F)</f>
        <v/>
      </c>
      <c r="G93" s="7">
        <f>SUMIF('Week1'!$A:$A,$A93,'Week1'!$G:$G)+SUMIF('Week2'!$A:$A,$A93,'Week2'!$G:$G)+SUMIF('Week3'!$A:$A,$A93,'Week3'!$G:$G)+SUMIF('Week4'!$A:$A,$A93,'Week4'!$G:$G)</f>
        <v/>
      </c>
      <c r="H93" s="7">
        <f>SUMIF('Week1'!$A:$A,$A93,'Week1'!$H:$H)+SUMIF('Week2'!$A:$A,$A93,'Week2'!$H:$H)+SUMIF('Week3'!$A:$A,$A93,'Week3'!$H:$H)+SUMIF('Week4'!$A:$A,$A93,'Week4'!$H:$H)</f>
        <v/>
      </c>
    </row>
    <row r="94">
      <c r="A94" s="6" t="inlineStr">
        <is>
          <t>L SHAVJI</t>
        </is>
      </c>
      <c r="B94" s="6" t="inlineStr">
        <is>
          <t>PROD TABLE</t>
        </is>
      </c>
      <c r="C94" s="7" t="n">
        <v>699</v>
      </c>
      <c r="D94" s="7">
        <f>SUMIF('Week1'!$A:$A,$A94,'Week1'!$D:$D)+SUMIF('Week2'!$A:$A,$A94,'Week2'!$D:$D)+SUMIF('Week3'!$A:$A,$A94,'Week3'!$D:$D)+SUMIF('Week4'!$A:$A,$A94,'Week4'!$D:$D)</f>
        <v/>
      </c>
      <c r="E94" s="7">
        <f>SUMIF('Week1'!$A:$A,$A94,'Week1'!$E:$E)+SUMIF('Week2'!$A:$A,$A94,'Week2'!$E:$E)+SUMIF('Week3'!$A:$A,$A94,'Week3'!$E:$E)+SUMIF('Week4'!$A:$A,$A94,'Week4'!$E:$E)</f>
        <v/>
      </c>
      <c r="F94" s="7">
        <f>SUMIF('Week1'!$A:$A,$A94,'Week1'!$F:$F)+SUMIF('Week2'!$A:$A,$A94,'Week2'!$F:$F)+SUMIF('Week3'!$A:$A,$A94,'Week3'!$F:$F)+SUMIF('Week4'!$A:$A,$A94,'Week4'!$F:$F)</f>
        <v/>
      </c>
      <c r="G94" s="7">
        <f>SUMIF('Week1'!$A:$A,$A94,'Week1'!$G:$G)+SUMIF('Week2'!$A:$A,$A94,'Week2'!$G:$G)+SUMIF('Week3'!$A:$A,$A94,'Week3'!$G:$G)+SUMIF('Week4'!$A:$A,$A94,'Week4'!$G:$G)</f>
        <v/>
      </c>
      <c r="H94" s="7">
        <f>SUMIF('Week1'!$A:$A,$A94,'Week1'!$H:$H)+SUMIF('Week2'!$A:$A,$A94,'Week2'!$H:$H)+SUMIF('Week3'!$A:$A,$A94,'Week3'!$H:$H)+SUMIF('Week4'!$A:$A,$A94,'Week4'!$H:$H)</f>
        <v/>
      </c>
    </row>
    <row r="95">
      <c r="A95" s="6" t="inlineStr">
        <is>
          <t>B TEJESKUMAR</t>
        </is>
      </c>
      <c r="B95" s="6" t="inlineStr">
        <is>
          <t>PROD TABLE</t>
        </is>
      </c>
      <c r="C95" s="7" t="n">
        <v>722</v>
      </c>
      <c r="D95" s="7">
        <f>SUMIF('Week1'!$A:$A,$A95,'Week1'!$D:$D)+SUMIF('Week2'!$A:$A,$A95,'Week2'!$D:$D)+SUMIF('Week3'!$A:$A,$A95,'Week3'!$D:$D)+SUMIF('Week4'!$A:$A,$A95,'Week4'!$D:$D)</f>
        <v/>
      </c>
      <c r="E95" s="7">
        <f>SUMIF('Week1'!$A:$A,$A95,'Week1'!$E:$E)+SUMIF('Week2'!$A:$A,$A95,'Week2'!$E:$E)+SUMIF('Week3'!$A:$A,$A95,'Week3'!$E:$E)+SUMIF('Week4'!$A:$A,$A95,'Week4'!$E:$E)</f>
        <v/>
      </c>
      <c r="F95" s="7">
        <f>SUMIF('Week1'!$A:$A,$A95,'Week1'!$F:$F)+SUMIF('Week2'!$A:$A,$A95,'Week2'!$F:$F)+SUMIF('Week3'!$A:$A,$A95,'Week3'!$F:$F)+SUMIF('Week4'!$A:$A,$A95,'Week4'!$F:$F)</f>
        <v/>
      </c>
      <c r="G95" s="7">
        <f>SUMIF('Week1'!$A:$A,$A95,'Week1'!$G:$G)+SUMIF('Week2'!$A:$A,$A95,'Week2'!$G:$G)+SUMIF('Week3'!$A:$A,$A95,'Week3'!$G:$G)+SUMIF('Week4'!$A:$A,$A95,'Week4'!$G:$G)</f>
        <v/>
      </c>
      <c r="H95" s="7">
        <f>SUMIF('Week1'!$A:$A,$A95,'Week1'!$H:$H)+SUMIF('Week2'!$A:$A,$A95,'Week2'!$H:$H)+SUMIF('Week3'!$A:$A,$A95,'Week3'!$H:$H)+SUMIF('Week4'!$A:$A,$A95,'Week4'!$H:$H)</f>
        <v/>
      </c>
    </row>
    <row r="96">
      <c r="A96" s="6" t="inlineStr">
        <is>
          <t>M VAHORA</t>
        </is>
      </c>
      <c r="B96" s="6" t="inlineStr">
        <is>
          <t>PROD TABLE</t>
        </is>
      </c>
      <c r="C96" s="7" t="n">
        <v>414</v>
      </c>
      <c r="D96" s="7">
        <f>SUMIF('Week1'!$A:$A,$A96,'Week1'!$D:$D)+SUMIF('Week2'!$A:$A,$A96,'Week2'!$D:$D)+SUMIF('Week3'!$A:$A,$A96,'Week3'!$D:$D)+SUMIF('Week4'!$A:$A,$A96,'Week4'!$D:$D)</f>
        <v/>
      </c>
      <c r="E96" s="7">
        <f>SUMIF('Week1'!$A:$A,$A96,'Week1'!$E:$E)+SUMIF('Week2'!$A:$A,$A96,'Week2'!$E:$E)+SUMIF('Week3'!$A:$A,$A96,'Week3'!$E:$E)+SUMIF('Week4'!$A:$A,$A96,'Week4'!$E:$E)</f>
        <v/>
      </c>
      <c r="F96" s="7">
        <f>SUMIF('Week1'!$A:$A,$A96,'Week1'!$F:$F)+SUMIF('Week2'!$A:$A,$A96,'Week2'!$F:$F)+SUMIF('Week3'!$A:$A,$A96,'Week3'!$F:$F)+SUMIF('Week4'!$A:$A,$A96,'Week4'!$F:$F)</f>
        <v/>
      </c>
      <c r="G96" s="7">
        <f>SUMIF('Week1'!$A:$A,$A96,'Week1'!$G:$G)+SUMIF('Week2'!$A:$A,$A96,'Week2'!$G:$G)+SUMIF('Week3'!$A:$A,$A96,'Week3'!$G:$G)+SUMIF('Week4'!$A:$A,$A96,'Week4'!$G:$G)</f>
        <v/>
      </c>
      <c r="H96" s="7">
        <f>SUMIF('Week1'!$A:$A,$A96,'Week1'!$H:$H)+SUMIF('Week2'!$A:$A,$A96,'Week2'!$H:$H)+SUMIF('Week3'!$A:$A,$A96,'Week3'!$H:$H)+SUMIF('Week4'!$A:$A,$A96,'Week4'!$H:$H)</f>
        <v/>
      </c>
    </row>
    <row r="97">
      <c r="A97" s="6" t="inlineStr">
        <is>
          <t>A ALI  SALLAM</t>
        </is>
      </c>
      <c r="B97" s="6" t="inlineStr">
        <is>
          <t>TECH TECHNICAL</t>
        </is>
      </c>
      <c r="C97" s="7" t="n">
        <v>523</v>
      </c>
      <c r="D97" s="7">
        <f>SUMIF('Week1'!$A:$A,$A97,'Week1'!$D:$D)+SUMIF('Week2'!$A:$A,$A97,'Week2'!$D:$D)+SUMIF('Week3'!$A:$A,$A97,'Week3'!$D:$D)+SUMIF('Week4'!$A:$A,$A97,'Week4'!$D:$D)</f>
        <v/>
      </c>
      <c r="E97" s="7">
        <f>SUMIF('Week1'!$A:$A,$A97,'Week1'!$E:$E)+SUMIF('Week2'!$A:$A,$A97,'Week2'!$E:$E)+SUMIF('Week3'!$A:$A,$A97,'Week3'!$E:$E)+SUMIF('Week4'!$A:$A,$A97,'Week4'!$E:$E)</f>
        <v/>
      </c>
      <c r="F97" s="7">
        <f>SUMIF('Week1'!$A:$A,$A97,'Week1'!$F:$F)+SUMIF('Week2'!$A:$A,$A97,'Week2'!$F:$F)+SUMIF('Week3'!$A:$A,$A97,'Week3'!$F:$F)+SUMIF('Week4'!$A:$A,$A97,'Week4'!$F:$F)</f>
        <v/>
      </c>
      <c r="G97" s="7">
        <f>SUMIF('Week1'!$A:$A,$A97,'Week1'!$G:$G)+SUMIF('Week2'!$A:$A,$A97,'Week2'!$G:$G)+SUMIF('Week3'!$A:$A,$A97,'Week3'!$G:$G)+SUMIF('Week4'!$A:$A,$A97,'Week4'!$G:$G)</f>
        <v/>
      </c>
      <c r="H97" s="7">
        <f>SUMIF('Week1'!$A:$A,$A97,'Week1'!$H:$H)+SUMIF('Week2'!$A:$A,$A97,'Week2'!$H:$H)+SUMIF('Week3'!$A:$A,$A97,'Week3'!$H:$H)+SUMIF('Week4'!$A:$A,$A97,'Week4'!$H:$H)</f>
        <v/>
      </c>
    </row>
    <row r="98">
      <c r="A98" s="6" t="inlineStr">
        <is>
          <t>P KAUR</t>
        </is>
      </c>
      <c r="B98" s="6" t="inlineStr">
        <is>
          <t>TECH TECHNICAL</t>
        </is>
      </c>
      <c r="C98" s="7" t="n">
        <v>417</v>
      </c>
      <c r="D98" s="7">
        <f>SUMIF('Week1'!$A:$A,$A98,'Week1'!$D:$D)+SUMIF('Week2'!$A:$A,$A98,'Week2'!$D:$D)+SUMIF('Week3'!$A:$A,$A98,'Week3'!$D:$D)+SUMIF('Week4'!$A:$A,$A98,'Week4'!$D:$D)</f>
        <v/>
      </c>
      <c r="E98" s="7">
        <f>SUMIF('Week1'!$A:$A,$A98,'Week1'!$E:$E)+SUMIF('Week2'!$A:$A,$A98,'Week2'!$E:$E)+SUMIF('Week3'!$A:$A,$A98,'Week3'!$E:$E)+SUMIF('Week4'!$A:$A,$A98,'Week4'!$E:$E)</f>
        <v/>
      </c>
      <c r="F98" s="7">
        <f>SUMIF('Week1'!$A:$A,$A98,'Week1'!$F:$F)+SUMIF('Week2'!$A:$A,$A98,'Week2'!$F:$F)+SUMIF('Week3'!$A:$A,$A98,'Week3'!$F:$F)+SUMIF('Week4'!$A:$A,$A98,'Week4'!$F:$F)</f>
        <v/>
      </c>
      <c r="G98" s="7">
        <f>SUMIF('Week1'!$A:$A,$A98,'Week1'!$G:$G)+SUMIF('Week2'!$A:$A,$A98,'Week2'!$G:$G)+SUMIF('Week3'!$A:$A,$A98,'Week3'!$G:$G)+SUMIF('Week4'!$A:$A,$A98,'Week4'!$G:$G)</f>
        <v/>
      </c>
      <c r="H98" s="7">
        <f>SUMIF('Week1'!$A:$A,$A98,'Week1'!$H:$H)+SUMIF('Week2'!$A:$A,$A98,'Week2'!$H:$H)+SUMIF('Week3'!$A:$A,$A98,'Week3'!$H:$H)+SUMIF('Week4'!$A:$A,$A98,'Week4'!$H:$H)</f>
        <v/>
      </c>
    </row>
    <row r="99">
      <c r="A99" s="6" t="inlineStr">
        <is>
          <t>J PATEL</t>
        </is>
      </c>
      <c r="B99" s="6" t="inlineStr">
        <is>
          <t>TECH TECHNICAL</t>
        </is>
      </c>
      <c r="C99" s="7" t="n">
        <v>678</v>
      </c>
      <c r="D99" s="7">
        <f>SUMIF('Week1'!$A:$A,$A99,'Week1'!$D:$D)+SUMIF('Week2'!$A:$A,$A99,'Week2'!$D:$D)+SUMIF('Week3'!$A:$A,$A99,'Week3'!$D:$D)+SUMIF('Week4'!$A:$A,$A99,'Week4'!$D:$D)</f>
        <v/>
      </c>
      <c r="E99" s="7">
        <f>SUMIF('Week1'!$A:$A,$A99,'Week1'!$E:$E)+SUMIF('Week2'!$A:$A,$A99,'Week2'!$E:$E)+SUMIF('Week3'!$A:$A,$A99,'Week3'!$E:$E)+SUMIF('Week4'!$A:$A,$A99,'Week4'!$E:$E)</f>
        <v/>
      </c>
      <c r="F99" s="7">
        <f>SUMIF('Week1'!$A:$A,$A99,'Week1'!$F:$F)+SUMIF('Week2'!$A:$A,$A99,'Week2'!$F:$F)+SUMIF('Week3'!$A:$A,$A99,'Week3'!$F:$F)+SUMIF('Week4'!$A:$A,$A99,'Week4'!$F:$F)</f>
        <v/>
      </c>
      <c r="G99" s="7">
        <f>SUMIF('Week1'!$A:$A,$A99,'Week1'!$G:$G)+SUMIF('Week2'!$A:$A,$A99,'Week2'!$G:$G)+SUMIF('Week3'!$A:$A,$A99,'Week3'!$G:$G)+SUMIF('Week4'!$A:$A,$A99,'Week4'!$G:$G)</f>
        <v/>
      </c>
      <c r="H99" s="7">
        <f>SUMIF('Week1'!$A:$A,$A99,'Week1'!$H:$H)+SUMIF('Week2'!$A:$A,$A99,'Week2'!$H:$H)+SUMIF('Week3'!$A:$A,$A99,'Week3'!$H:$H)+SUMIF('Week4'!$A:$A,$A99,'Week4'!$H:$H)</f>
        <v/>
      </c>
    </row>
    <row r="100">
      <c r="A100" s="6" t="inlineStr">
        <is>
          <t>H R DOMADIYA</t>
        </is>
      </c>
      <c r="B100" s="6" t="inlineStr">
        <is>
          <t>TECH TECHNICAL</t>
        </is>
      </c>
      <c r="C100" s="7" t="n">
        <v>682</v>
      </c>
      <c r="D100" s="7">
        <f>SUMIF('Week1'!$A:$A,$A100,'Week1'!$D:$D)+SUMIF('Week2'!$A:$A,$A100,'Week2'!$D:$D)+SUMIF('Week3'!$A:$A,$A100,'Week3'!$D:$D)+SUMIF('Week4'!$A:$A,$A100,'Week4'!$D:$D)</f>
        <v/>
      </c>
      <c r="E100" s="7">
        <f>SUMIF('Week1'!$A:$A,$A100,'Week1'!$E:$E)+SUMIF('Week2'!$A:$A,$A100,'Week2'!$E:$E)+SUMIF('Week3'!$A:$A,$A100,'Week3'!$E:$E)+SUMIF('Week4'!$A:$A,$A100,'Week4'!$E:$E)</f>
        <v/>
      </c>
      <c r="F100" s="7">
        <f>SUMIF('Week1'!$A:$A,$A100,'Week1'!$F:$F)+SUMIF('Week2'!$A:$A,$A100,'Week2'!$F:$F)+SUMIF('Week3'!$A:$A,$A100,'Week3'!$F:$F)+SUMIF('Week4'!$A:$A,$A100,'Week4'!$F:$F)</f>
        <v/>
      </c>
      <c r="G100" s="7">
        <f>SUMIF('Week1'!$A:$A,$A100,'Week1'!$G:$G)+SUMIF('Week2'!$A:$A,$A100,'Week2'!$G:$G)+SUMIF('Week3'!$A:$A,$A100,'Week3'!$G:$G)+SUMIF('Week4'!$A:$A,$A100,'Week4'!$G:$G)</f>
        <v/>
      </c>
      <c r="H100" s="7">
        <f>SUMIF('Week1'!$A:$A,$A100,'Week1'!$H:$H)+SUMIF('Week2'!$A:$A,$A100,'Week2'!$H:$H)+SUMIF('Week3'!$A:$A,$A100,'Week3'!$H:$H)+SUMIF('Week4'!$A:$A,$A100,'Week4'!$H:$H)</f>
        <v/>
      </c>
    </row>
    <row r="101">
      <c r="A101" s="6" t="inlineStr">
        <is>
          <t>M SHAH</t>
        </is>
      </c>
      <c r="B101" s="6" t="inlineStr">
        <is>
          <t>TECH TECHNICAL</t>
        </is>
      </c>
      <c r="C101" s="7" t="n">
        <v>308</v>
      </c>
      <c r="D101" s="7">
        <f>SUMIF('Week1'!$A:$A,$A101,'Week1'!$D:$D)+SUMIF('Week2'!$A:$A,$A101,'Week2'!$D:$D)+SUMIF('Week3'!$A:$A,$A101,'Week3'!$D:$D)+SUMIF('Week4'!$A:$A,$A101,'Week4'!$D:$D)</f>
        <v/>
      </c>
      <c r="E101" s="7">
        <f>SUMIF('Week1'!$A:$A,$A101,'Week1'!$E:$E)+SUMIF('Week2'!$A:$A,$A101,'Week2'!$E:$E)+SUMIF('Week3'!$A:$A,$A101,'Week3'!$E:$E)+SUMIF('Week4'!$A:$A,$A101,'Week4'!$E:$E)</f>
        <v/>
      </c>
      <c r="F101" s="7">
        <f>SUMIF('Week1'!$A:$A,$A101,'Week1'!$F:$F)+SUMIF('Week2'!$A:$A,$A101,'Week2'!$F:$F)+SUMIF('Week3'!$A:$A,$A101,'Week3'!$F:$F)+SUMIF('Week4'!$A:$A,$A101,'Week4'!$F:$F)</f>
        <v/>
      </c>
      <c r="G101" s="7">
        <f>SUMIF('Week1'!$A:$A,$A101,'Week1'!$G:$G)+SUMIF('Week2'!$A:$A,$A101,'Week2'!$G:$G)+SUMIF('Week3'!$A:$A,$A101,'Week3'!$G:$G)+SUMIF('Week4'!$A:$A,$A101,'Week4'!$G:$G)</f>
        <v/>
      </c>
      <c r="H101" s="7">
        <f>SUMIF('Week1'!$A:$A,$A101,'Week1'!$H:$H)+SUMIF('Week2'!$A:$A,$A101,'Week2'!$H:$H)+SUMIF('Week3'!$A:$A,$A101,'Week3'!$H:$H)+SUMIF('Week4'!$A:$A,$A101,'Week4'!$H:$H)</f>
        <v/>
      </c>
    </row>
    <row r="102">
      <c r="A102" s="6" t="inlineStr">
        <is>
          <t>A AMIT</t>
        </is>
      </c>
      <c r="B102" s="6" t="inlineStr">
        <is>
          <t>WRHS</t>
        </is>
      </c>
      <c r="C102" s="7" t="n">
        <v>674</v>
      </c>
      <c r="D102" s="7">
        <f>SUMIF('Week1'!$A:$A,$A102,'Week1'!$D:$D)+SUMIF('Week2'!$A:$A,$A102,'Week2'!$D:$D)+SUMIF('Week3'!$A:$A,$A102,'Week3'!$D:$D)+SUMIF('Week4'!$A:$A,$A102,'Week4'!$D:$D)</f>
        <v/>
      </c>
      <c r="E102" s="7">
        <f>SUMIF('Week1'!$A:$A,$A102,'Week1'!$E:$E)+SUMIF('Week2'!$A:$A,$A102,'Week2'!$E:$E)+SUMIF('Week3'!$A:$A,$A102,'Week3'!$E:$E)+SUMIF('Week4'!$A:$A,$A102,'Week4'!$E:$E)</f>
        <v/>
      </c>
      <c r="F102" s="7">
        <f>SUMIF('Week1'!$A:$A,$A102,'Week1'!$F:$F)+SUMIF('Week2'!$A:$A,$A102,'Week2'!$F:$F)+SUMIF('Week3'!$A:$A,$A102,'Week3'!$F:$F)+SUMIF('Week4'!$A:$A,$A102,'Week4'!$F:$F)</f>
        <v/>
      </c>
      <c r="G102" s="7">
        <f>SUMIF('Week1'!$A:$A,$A102,'Week1'!$G:$G)+SUMIF('Week2'!$A:$A,$A102,'Week2'!$G:$G)+SUMIF('Week3'!$A:$A,$A102,'Week3'!$G:$G)+SUMIF('Week4'!$A:$A,$A102,'Week4'!$G:$G)</f>
        <v/>
      </c>
      <c r="H102" s="7">
        <f>SUMIF('Week1'!$A:$A,$A102,'Week1'!$H:$H)+SUMIF('Week2'!$A:$A,$A102,'Week2'!$H:$H)+SUMIF('Week3'!$A:$A,$A102,'Week3'!$H:$H)+SUMIF('Week4'!$A:$A,$A102,'Week4'!$H:$H)</f>
        <v/>
      </c>
    </row>
    <row r="103">
      <c r="A103" s="6" t="inlineStr">
        <is>
          <t>W GRZEGORZ KOPACZ</t>
        </is>
      </c>
      <c r="B103" s="6" t="inlineStr">
        <is>
          <t>WRHS</t>
        </is>
      </c>
      <c r="C103" s="7" t="n">
        <v>592</v>
      </c>
      <c r="D103" s="7">
        <f>SUMIF('Week1'!$A:$A,$A103,'Week1'!$D:$D)+SUMIF('Week2'!$A:$A,$A103,'Week2'!$D:$D)+SUMIF('Week3'!$A:$A,$A103,'Week3'!$D:$D)+SUMIF('Week4'!$A:$A,$A103,'Week4'!$D:$D)</f>
        <v/>
      </c>
      <c r="E103" s="7">
        <f>SUMIF('Week1'!$A:$A,$A103,'Week1'!$E:$E)+SUMIF('Week2'!$A:$A,$A103,'Week2'!$E:$E)+SUMIF('Week3'!$A:$A,$A103,'Week3'!$E:$E)+SUMIF('Week4'!$A:$A,$A103,'Week4'!$E:$E)</f>
        <v/>
      </c>
      <c r="F103" s="7">
        <f>SUMIF('Week1'!$A:$A,$A103,'Week1'!$F:$F)+SUMIF('Week2'!$A:$A,$A103,'Week2'!$F:$F)+SUMIF('Week3'!$A:$A,$A103,'Week3'!$F:$F)+SUMIF('Week4'!$A:$A,$A103,'Week4'!$F:$F)</f>
        <v/>
      </c>
      <c r="G103" s="7">
        <f>SUMIF('Week1'!$A:$A,$A103,'Week1'!$G:$G)+SUMIF('Week2'!$A:$A,$A103,'Week2'!$G:$G)+SUMIF('Week3'!$A:$A,$A103,'Week3'!$G:$G)+SUMIF('Week4'!$A:$A,$A103,'Week4'!$G:$G)</f>
        <v/>
      </c>
      <c r="H103" s="7">
        <f>SUMIF('Week1'!$A:$A,$A103,'Week1'!$H:$H)+SUMIF('Week2'!$A:$A,$A103,'Week2'!$H:$H)+SUMIF('Week3'!$A:$A,$A103,'Week3'!$H:$H)+SUMIF('Week4'!$A:$A,$A103,'Week4'!$H:$H)</f>
        <v/>
      </c>
    </row>
    <row r="104">
      <c r="A104" s="6" t="inlineStr">
        <is>
          <t>A SAHOTA</t>
        </is>
      </c>
      <c r="B104" s="6" t="inlineStr">
        <is>
          <t>WRHS</t>
        </is>
      </c>
      <c r="C104" s="7" t="n">
        <v>680</v>
      </c>
      <c r="D104" s="7">
        <f>SUMIF('Week1'!$A:$A,$A104,'Week1'!$D:$D)+SUMIF('Week2'!$A:$A,$A104,'Week2'!$D:$D)+SUMIF('Week3'!$A:$A,$A104,'Week3'!$D:$D)+SUMIF('Week4'!$A:$A,$A104,'Week4'!$D:$D)</f>
        <v/>
      </c>
      <c r="E104" s="7">
        <f>SUMIF('Week1'!$A:$A,$A104,'Week1'!$E:$E)+SUMIF('Week2'!$A:$A,$A104,'Week2'!$E:$E)+SUMIF('Week3'!$A:$A,$A104,'Week3'!$E:$E)+SUMIF('Week4'!$A:$A,$A104,'Week4'!$E:$E)</f>
        <v/>
      </c>
      <c r="F104" s="7">
        <f>SUMIF('Week1'!$A:$A,$A104,'Week1'!$F:$F)+SUMIF('Week2'!$A:$A,$A104,'Week2'!$F:$F)+SUMIF('Week3'!$A:$A,$A104,'Week3'!$F:$F)+SUMIF('Week4'!$A:$A,$A104,'Week4'!$F:$F)</f>
        <v/>
      </c>
      <c r="G104" s="7">
        <f>SUMIF('Week1'!$A:$A,$A104,'Week1'!$G:$G)+SUMIF('Week2'!$A:$A,$A104,'Week2'!$G:$G)+SUMIF('Week3'!$A:$A,$A104,'Week3'!$G:$G)+SUMIF('Week4'!$A:$A,$A104,'Week4'!$G:$G)</f>
        <v/>
      </c>
      <c r="H104" s="7">
        <f>SUMIF('Week1'!$A:$A,$A104,'Week1'!$H:$H)+SUMIF('Week2'!$A:$A,$A104,'Week2'!$H:$H)+SUMIF('Week3'!$A:$A,$A104,'Week3'!$H:$H)+SUMIF('Week4'!$A:$A,$A104,'Week4'!$H:$H)</f>
        <v/>
      </c>
    </row>
    <row r="105">
      <c r="A105" s="6" t="inlineStr">
        <is>
          <t>S SUBRAMANI</t>
        </is>
      </c>
      <c r="B105" s="6" t="inlineStr">
        <is>
          <t>WRHS</t>
        </is>
      </c>
      <c r="C105" s="7" t="n">
        <v>205</v>
      </c>
      <c r="D105" s="7">
        <f>SUMIF('Week1'!$A:$A,$A105,'Week1'!$D:$D)+SUMIF('Week2'!$A:$A,$A105,'Week2'!$D:$D)+SUMIF('Week3'!$A:$A,$A105,'Week3'!$D:$D)+SUMIF('Week4'!$A:$A,$A105,'Week4'!$D:$D)</f>
        <v/>
      </c>
      <c r="E105" s="7">
        <f>SUMIF('Week1'!$A:$A,$A105,'Week1'!$E:$E)+SUMIF('Week2'!$A:$A,$A105,'Week2'!$E:$E)+SUMIF('Week3'!$A:$A,$A105,'Week3'!$E:$E)+SUMIF('Week4'!$A:$A,$A105,'Week4'!$E:$E)</f>
        <v/>
      </c>
      <c r="F105" s="7">
        <f>SUMIF('Week1'!$A:$A,$A105,'Week1'!$F:$F)+SUMIF('Week2'!$A:$A,$A105,'Week2'!$F:$F)+SUMIF('Week3'!$A:$A,$A105,'Week3'!$F:$F)+SUMIF('Week4'!$A:$A,$A105,'Week4'!$F:$F)</f>
        <v/>
      </c>
      <c r="G105" s="7">
        <f>SUMIF('Week1'!$A:$A,$A105,'Week1'!$G:$G)+SUMIF('Week2'!$A:$A,$A105,'Week2'!$G:$G)+SUMIF('Week3'!$A:$A,$A105,'Week3'!$G:$G)+SUMIF('Week4'!$A:$A,$A105,'Week4'!$G:$G)</f>
        <v/>
      </c>
      <c r="H105" s="7">
        <f>SUMIF('Week1'!$A:$A,$A105,'Week1'!$H:$H)+SUMIF('Week2'!$A:$A,$A105,'Week2'!$H:$H)+SUMIF('Week3'!$A:$A,$A105,'Week3'!$H:$H)+SUMIF('Week4'!$A:$A,$A105,'Week4'!$H:$H)</f>
        <v/>
      </c>
    </row>
    <row r="106">
      <c r="A106" s="6" t="inlineStr">
        <is>
          <t>R BABU EOLL</t>
        </is>
      </c>
      <c r="B106" s="6" t="inlineStr">
        <is>
          <t>A-EL CLNR</t>
        </is>
      </c>
      <c r="C106" s="7" t="n">
        <v>0</v>
      </c>
      <c r="D106" s="7">
        <f>SUMIF('Week1'!$A:$A,$A106,'Week1'!$D:$D)+SUMIF('Week2'!$A:$A,$A106,'Week2'!$D:$D)+SUMIF('Week3'!$A:$A,$A106,'Week3'!$D:$D)+SUMIF('Week4'!$A:$A,$A106,'Week4'!$D:$D)</f>
        <v/>
      </c>
      <c r="E106" s="7">
        <f>SUMIF('Week1'!$A:$A,$A106,'Week1'!$E:$E)+SUMIF('Week2'!$A:$A,$A106,'Week2'!$E:$E)+SUMIF('Week3'!$A:$A,$A106,'Week3'!$E:$E)+SUMIF('Week4'!$A:$A,$A106,'Week4'!$E:$E)</f>
        <v/>
      </c>
      <c r="F106" s="7">
        <f>SUMIF('Week1'!$A:$A,$A106,'Week1'!$F:$F)+SUMIF('Week2'!$A:$A,$A106,'Week2'!$F:$F)+SUMIF('Week3'!$A:$A,$A106,'Week3'!$F:$F)+SUMIF('Week4'!$A:$A,$A106,'Week4'!$F:$F)</f>
        <v/>
      </c>
      <c r="G106" s="7">
        <f>SUMIF('Week1'!$A:$A,$A106,'Week1'!$G:$G)+SUMIF('Week2'!$A:$A,$A106,'Week2'!$G:$G)+SUMIF('Week3'!$A:$A,$A106,'Week3'!$G:$G)+SUMIF('Week4'!$A:$A,$A106,'Week4'!$G:$G)</f>
        <v/>
      </c>
      <c r="H106" s="7">
        <f>SUMIF('Week1'!$A:$A,$A106,'Week1'!$H:$H)+SUMIF('Week2'!$A:$A,$A106,'Week2'!$H:$H)+SUMIF('Week3'!$A:$A,$A106,'Week3'!$H:$H)+SUMIF('Week4'!$A:$A,$A106,'Week4'!$H:$H)</f>
        <v/>
      </c>
    </row>
    <row r="107">
      <c r="A107" s="6" t="inlineStr">
        <is>
          <t>D BAMANIA EOLL</t>
        </is>
      </c>
      <c r="B107" s="6" t="inlineStr">
        <is>
          <t>A-EL CLNR</t>
        </is>
      </c>
      <c r="C107" s="7" t="n">
        <v>0</v>
      </c>
      <c r="D107" s="7">
        <f>SUMIF('Week1'!$A:$A,$A107,'Week1'!$D:$D)+SUMIF('Week2'!$A:$A,$A107,'Week2'!$D:$D)+SUMIF('Week3'!$A:$A,$A107,'Week3'!$D:$D)+SUMIF('Week4'!$A:$A,$A107,'Week4'!$D:$D)</f>
        <v/>
      </c>
      <c r="E107" s="7">
        <f>SUMIF('Week1'!$A:$A,$A107,'Week1'!$E:$E)+SUMIF('Week2'!$A:$A,$A107,'Week2'!$E:$E)+SUMIF('Week3'!$A:$A,$A107,'Week3'!$E:$E)+SUMIF('Week4'!$A:$A,$A107,'Week4'!$E:$E)</f>
        <v/>
      </c>
      <c r="F107" s="7">
        <f>SUMIF('Week1'!$A:$A,$A107,'Week1'!$F:$F)+SUMIF('Week2'!$A:$A,$A107,'Week2'!$F:$F)+SUMIF('Week3'!$A:$A,$A107,'Week3'!$F:$F)+SUMIF('Week4'!$A:$A,$A107,'Week4'!$F:$F)</f>
        <v/>
      </c>
      <c r="G107" s="7">
        <f>SUMIF('Week1'!$A:$A,$A107,'Week1'!$G:$G)+SUMIF('Week2'!$A:$A,$A107,'Week2'!$G:$G)+SUMIF('Week3'!$A:$A,$A107,'Week3'!$G:$G)+SUMIF('Week4'!$A:$A,$A107,'Week4'!$G:$G)</f>
        <v/>
      </c>
      <c r="H107" s="7">
        <f>SUMIF('Week1'!$A:$A,$A107,'Week1'!$H:$H)+SUMIF('Week2'!$A:$A,$A107,'Week2'!$H:$H)+SUMIF('Week3'!$A:$A,$A107,'Week3'!$H:$H)+SUMIF('Week4'!$A:$A,$A107,'Week4'!$H:$H)</f>
        <v/>
      </c>
    </row>
    <row r="108">
      <c r="A108" s="6" t="inlineStr">
        <is>
          <t>S CHAGANA EOLL</t>
        </is>
      </c>
      <c r="B108" s="6" t="inlineStr">
        <is>
          <t>A-EL CLNR</t>
        </is>
      </c>
      <c r="C108" s="7" t="n">
        <v>0</v>
      </c>
      <c r="D108" s="7">
        <f>SUMIF('Week1'!$A:$A,$A108,'Week1'!$D:$D)+SUMIF('Week2'!$A:$A,$A108,'Week2'!$D:$D)+SUMIF('Week3'!$A:$A,$A108,'Week3'!$D:$D)+SUMIF('Week4'!$A:$A,$A108,'Week4'!$D:$D)</f>
        <v/>
      </c>
      <c r="E108" s="7">
        <f>SUMIF('Week1'!$A:$A,$A108,'Week1'!$E:$E)+SUMIF('Week2'!$A:$A,$A108,'Week2'!$E:$E)+SUMIF('Week3'!$A:$A,$A108,'Week3'!$E:$E)+SUMIF('Week4'!$A:$A,$A108,'Week4'!$E:$E)</f>
        <v/>
      </c>
      <c r="F108" s="7">
        <f>SUMIF('Week1'!$A:$A,$A108,'Week1'!$F:$F)+SUMIF('Week2'!$A:$A,$A108,'Week2'!$F:$F)+SUMIF('Week3'!$A:$A,$A108,'Week3'!$F:$F)+SUMIF('Week4'!$A:$A,$A108,'Week4'!$F:$F)</f>
        <v/>
      </c>
      <c r="G108" s="7">
        <f>SUMIF('Week1'!$A:$A,$A108,'Week1'!$G:$G)+SUMIF('Week2'!$A:$A,$A108,'Week2'!$G:$G)+SUMIF('Week3'!$A:$A,$A108,'Week3'!$G:$G)+SUMIF('Week4'!$A:$A,$A108,'Week4'!$G:$G)</f>
        <v/>
      </c>
      <c r="H108" s="7">
        <f>SUMIF('Week1'!$A:$A,$A108,'Week1'!$H:$H)+SUMIF('Week2'!$A:$A,$A108,'Week2'!$H:$H)+SUMIF('Week3'!$A:$A,$A108,'Week3'!$H:$H)+SUMIF('Week4'!$A:$A,$A108,'Week4'!$H:$H)</f>
        <v/>
      </c>
    </row>
    <row r="109">
      <c r="A109" s="6" t="inlineStr">
        <is>
          <t>K NATVAR EOLL</t>
        </is>
      </c>
      <c r="B109" s="6" t="inlineStr">
        <is>
          <t>A-EL CLNR</t>
        </is>
      </c>
      <c r="C109" s="7" t="n">
        <v>0</v>
      </c>
      <c r="D109" s="7">
        <f>SUMIF('Week1'!$A:$A,$A109,'Week1'!$D:$D)+SUMIF('Week2'!$A:$A,$A109,'Week2'!$D:$D)+SUMIF('Week3'!$A:$A,$A109,'Week3'!$D:$D)+SUMIF('Week4'!$A:$A,$A109,'Week4'!$D:$D)</f>
        <v/>
      </c>
      <c r="E109" s="7">
        <f>SUMIF('Week1'!$A:$A,$A109,'Week1'!$E:$E)+SUMIF('Week2'!$A:$A,$A109,'Week2'!$E:$E)+SUMIF('Week3'!$A:$A,$A109,'Week3'!$E:$E)+SUMIF('Week4'!$A:$A,$A109,'Week4'!$E:$E)</f>
        <v/>
      </c>
      <c r="F109" s="7">
        <f>SUMIF('Week1'!$A:$A,$A109,'Week1'!$F:$F)+SUMIF('Week2'!$A:$A,$A109,'Week2'!$F:$F)+SUMIF('Week3'!$A:$A,$A109,'Week3'!$F:$F)+SUMIF('Week4'!$A:$A,$A109,'Week4'!$F:$F)</f>
        <v/>
      </c>
      <c r="G109" s="7">
        <f>SUMIF('Week1'!$A:$A,$A109,'Week1'!$G:$G)+SUMIF('Week2'!$A:$A,$A109,'Week2'!$G:$G)+SUMIF('Week3'!$A:$A,$A109,'Week3'!$G:$G)+SUMIF('Week4'!$A:$A,$A109,'Week4'!$G:$G)</f>
        <v/>
      </c>
      <c r="H109" s="7">
        <f>SUMIF('Week1'!$A:$A,$A109,'Week1'!$H:$H)+SUMIF('Week2'!$A:$A,$A109,'Week2'!$H:$H)+SUMIF('Week3'!$A:$A,$A109,'Week3'!$H:$H)+SUMIF('Week4'!$A:$A,$A109,'Week4'!$H:$H)</f>
        <v/>
      </c>
    </row>
    <row r="110">
      <c r="A110" s="6" t="inlineStr">
        <is>
          <t>L SOMA EOLL</t>
        </is>
      </c>
      <c r="B110" s="6" t="inlineStr">
        <is>
          <t>A-EL CLNR</t>
        </is>
      </c>
      <c r="C110" s="7" t="n">
        <v>0</v>
      </c>
      <c r="D110" s="7">
        <f>SUMIF('Week1'!$A:$A,$A110,'Week1'!$D:$D)+SUMIF('Week2'!$A:$A,$A110,'Week2'!$D:$D)+SUMIF('Week3'!$A:$A,$A110,'Week3'!$D:$D)+SUMIF('Week4'!$A:$A,$A110,'Week4'!$D:$D)</f>
        <v/>
      </c>
      <c r="E110" s="7">
        <f>SUMIF('Week1'!$A:$A,$A110,'Week1'!$E:$E)+SUMIF('Week2'!$A:$A,$A110,'Week2'!$E:$E)+SUMIF('Week3'!$A:$A,$A110,'Week3'!$E:$E)+SUMIF('Week4'!$A:$A,$A110,'Week4'!$E:$E)</f>
        <v/>
      </c>
      <c r="F110" s="7">
        <f>SUMIF('Week1'!$A:$A,$A110,'Week1'!$F:$F)+SUMIF('Week2'!$A:$A,$A110,'Week2'!$F:$F)+SUMIF('Week3'!$A:$A,$A110,'Week3'!$F:$F)+SUMIF('Week4'!$A:$A,$A110,'Week4'!$F:$F)</f>
        <v/>
      </c>
      <c r="G110" s="7">
        <f>SUMIF('Week1'!$A:$A,$A110,'Week1'!$G:$G)+SUMIF('Week2'!$A:$A,$A110,'Week2'!$G:$G)+SUMIF('Week3'!$A:$A,$A110,'Week3'!$G:$G)+SUMIF('Week4'!$A:$A,$A110,'Week4'!$G:$G)</f>
        <v/>
      </c>
      <c r="H110" s="7">
        <f>SUMIF('Week1'!$A:$A,$A110,'Week1'!$H:$H)+SUMIF('Week2'!$A:$A,$A110,'Week2'!$H:$H)+SUMIF('Week3'!$A:$A,$A110,'Week3'!$H:$H)+SUMIF('Week4'!$A:$A,$A110,'Week4'!$H:$H)</f>
        <v/>
      </c>
    </row>
    <row r="111">
      <c r="A111" s="6" t="inlineStr">
        <is>
          <t>D VIRA EOLL</t>
        </is>
      </c>
      <c r="B111" s="6" t="inlineStr">
        <is>
          <t>A-EL CLNR</t>
        </is>
      </c>
      <c r="C111" s="7" t="n">
        <v>0</v>
      </c>
      <c r="D111" s="7">
        <f>SUMIF('Week1'!$A:$A,$A111,'Week1'!$D:$D)+SUMIF('Week2'!$A:$A,$A111,'Week2'!$D:$D)+SUMIF('Week3'!$A:$A,$A111,'Week3'!$D:$D)+SUMIF('Week4'!$A:$A,$A111,'Week4'!$D:$D)</f>
        <v/>
      </c>
      <c r="E111" s="7">
        <f>SUMIF('Week1'!$A:$A,$A111,'Week1'!$E:$E)+SUMIF('Week2'!$A:$A,$A111,'Week2'!$E:$E)+SUMIF('Week3'!$A:$A,$A111,'Week3'!$E:$E)+SUMIF('Week4'!$A:$A,$A111,'Week4'!$E:$E)</f>
        <v/>
      </c>
      <c r="F111" s="7">
        <f>SUMIF('Week1'!$A:$A,$A111,'Week1'!$F:$F)+SUMIF('Week2'!$A:$A,$A111,'Week2'!$F:$F)+SUMIF('Week3'!$A:$A,$A111,'Week3'!$F:$F)+SUMIF('Week4'!$A:$A,$A111,'Week4'!$F:$F)</f>
        <v/>
      </c>
      <c r="G111" s="7">
        <f>SUMIF('Week1'!$A:$A,$A111,'Week1'!$G:$G)+SUMIF('Week2'!$A:$A,$A111,'Week2'!$G:$G)+SUMIF('Week3'!$A:$A,$A111,'Week3'!$G:$G)+SUMIF('Week4'!$A:$A,$A111,'Week4'!$G:$G)</f>
        <v/>
      </c>
      <c r="H111" s="7">
        <f>SUMIF('Week1'!$A:$A,$A111,'Week1'!$H:$H)+SUMIF('Week2'!$A:$A,$A111,'Week2'!$H:$H)+SUMIF('Week3'!$A:$A,$A111,'Week3'!$H:$H)+SUMIF('Week4'!$A:$A,$A111,'Week4'!$H:$H)</f>
        <v/>
      </c>
    </row>
    <row r="112">
      <c r="A112" s="6" t="inlineStr">
        <is>
          <t>A VIRA EOLL</t>
        </is>
      </c>
      <c r="B112" s="6" t="inlineStr">
        <is>
          <t>A-EL DPCH</t>
        </is>
      </c>
      <c r="C112" s="7" t="n">
        <v>0</v>
      </c>
      <c r="D112" s="7">
        <f>SUMIF('Week1'!$A:$A,$A112,'Week1'!$D:$D)+SUMIF('Week2'!$A:$A,$A112,'Week2'!$D:$D)+SUMIF('Week3'!$A:$A,$A112,'Week3'!$D:$D)+SUMIF('Week4'!$A:$A,$A112,'Week4'!$D:$D)</f>
        <v/>
      </c>
      <c r="E112" s="7">
        <f>SUMIF('Week1'!$A:$A,$A112,'Week1'!$E:$E)+SUMIF('Week2'!$A:$A,$A112,'Week2'!$E:$E)+SUMIF('Week3'!$A:$A,$A112,'Week3'!$E:$E)+SUMIF('Week4'!$A:$A,$A112,'Week4'!$E:$E)</f>
        <v/>
      </c>
      <c r="F112" s="7">
        <f>SUMIF('Week1'!$A:$A,$A112,'Week1'!$F:$F)+SUMIF('Week2'!$A:$A,$A112,'Week2'!$F:$F)+SUMIF('Week3'!$A:$A,$A112,'Week3'!$F:$F)+SUMIF('Week4'!$A:$A,$A112,'Week4'!$F:$F)</f>
        <v/>
      </c>
      <c r="G112" s="7">
        <f>SUMIF('Week1'!$A:$A,$A112,'Week1'!$G:$G)+SUMIF('Week2'!$A:$A,$A112,'Week2'!$G:$G)+SUMIF('Week3'!$A:$A,$A112,'Week3'!$G:$G)+SUMIF('Week4'!$A:$A,$A112,'Week4'!$G:$G)</f>
        <v/>
      </c>
      <c r="H112" s="7">
        <f>SUMIF('Week1'!$A:$A,$A112,'Week1'!$H:$H)+SUMIF('Week2'!$A:$A,$A112,'Week2'!$H:$H)+SUMIF('Week3'!$A:$A,$A112,'Week3'!$H:$H)+SUMIF('Week4'!$A:$A,$A112,'Week4'!$H:$H)</f>
        <v/>
      </c>
    </row>
    <row r="113">
      <c r="A113" s="6" t="inlineStr">
        <is>
          <t>K BHALALA EOLL</t>
        </is>
      </c>
      <c r="B113" s="6" t="inlineStr">
        <is>
          <t>A-EL PKNG HIGH_RISK</t>
        </is>
      </c>
      <c r="C113" s="7" t="n">
        <v>0</v>
      </c>
      <c r="D113" s="7">
        <f>SUMIF('Week1'!$A:$A,$A113,'Week1'!$D:$D)+SUMIF('Week2'!$A:$A,$A113,'Week2'!$D:$D)+SUMIF('Week3'!$A:$A,$A113,'Week3'!$D:$D)+SUMIF('Week4'!$A:$A,$A113,'Week4'!$D:$D)</f>
        <v/>
      </c>
      <c r="E113" s="7">
        <f>SUMIF('Week1'!$A:$A,$A113,'Week1'!$E:$E)+SUMIF('Week2'!$A:$A,$A113,'Week2'!$E:$E)+SUMIF('Week3'!$A:$A,$A113,'Week3'!$E:$E)+SUMIF('Week4'!$A:$A,$A113,'Week4'!$E:$E)</f>
        <v/>
      </c>
      <c r="F113" s="7">
        <f>SUMIF('Week1'!$A:$A,$A113,'Week1'!$F:$F)+SUMIF('Week2'!$A:$A,$A113,'Week2'!$F:$F)+SUMIF('Week3'!$A:$A,$A113,'Week3'!$F:$F)+SUMIF('Week4'!$A:$A,$A113,'Week4'!$F:$F)</f>
        <v/>
      </c>
      <c r="G113" s="7">
        <f>SUMIF('Week1'!$A:$A,$A113,'Week1'!$G:$G)+SUMIF('Week2'!$A:$A,$A113,'Week2'!$G:$G)+SUMIF('Week3'!$A:$A,$A113,'Week3'!$G:$G)+SUMIF('Week4'!$A:$A,$A113,'Week4'!$G:$G)</f>
        <v/>
      </c>
      <c r="H113" s="7">
        <f>SUMIF('Week1'!$A:$A,$A113,'Week1'!$H:$H)+SUMIF('Week2'!$A:$A,$A113,'Week2'!$H:$H)+SUMIF('Week3'!$A:$A,$A113,'Week3'!$H:$H)+SUMIF('Week4'!$A:$A,$A113,'Week4'!$H:$H)</f>
        <v/>
      </c>
    </row>
    <row r="114">
      <c r="A114" s="6" t="inlineStr">
        <is>
          <t>S BIPINBHAI DOBARIYA EOLL</t>
        </is>
      </c>
      <c r="B114" s="6" t="inlineStr">
        <is>
          <t>A-EL PKNG HIGH_RISK</t>
        </is>
      </c>
      <c r="C114" s="7" t="n">
        <v>0</v>
      </c>
      <c r="D114" s="7">
        <f>SUMIF('Week1'!$A:$A,$A114,'Week1'!$D:$D)+SUMIF('Week2'!$A:$A,$A114,'Week2'!$D:$D)+SUMIF('Week3'!$A:$A,$A114,'Week3'!$D:$D)+SUMIF('Week4'!$A:$A,$A114,'Week4'!$D:$D)</f>
        <v/>
      </c>
      <c r="E114" s="7">
        <f>SUMIF('Week1'!$A:$A,$A114,'Week1'!$E:$E)+SUMIF('Week2'!$A:$A,$A114,'Week2'!$E:$E)+SUMIF('Week3'!$A:$A,$A114,'Week3'!$E:$E)+SUMIF('Week4'!$A:$A,$A114,'Week4'!$E:$E)</f>
        <v/>
      </c>
      <c r="F114" s="7">
        <f>SUMIF('Week1'!$A:$A,$A114,'Week1'!$F:$F)+SUMIF('Week2'!$A:$A,$A114,'Week2'!$F:$F)+SUMIF('Week3'!$A:$A,$A114,'Week3'!$F:$F)+SUMIF('Week4'!$A:$A,$A114,'Week4'!$F:$F)</f>
        <v/>
      </c>
      <c r="G114" s="7">
        <f>SUMIF('Week1'!$A:$A,$A114,'Week1'!$G:$G)+SUMIF('Week2'!$A:$A,$A114,'Week2'!$G:$G)+SUMIF('Week3'!$A:$A,$A114,'Week3'!$G:$G)+SUMIF('Week4'!$A:$A,$A114,'Week4'!$G:$G)</f>
        <v/>
      </c>
      <c r="H114" s="7">
        <f>SUMIF('Week1'!$A:$A,$A114,'Week1'!$H:$H)+SUMIF('Week2'!$A:$A,$A114,'Week2'!$H:$H)+SUMIF('Week3'!$A:$A,$A114,'Week3'!$H:$H)+SUMIF('Week4'!$A:$A,$A114,'Week4'!$H:$H)</f>
        <v/>
      </c>
    </row>
    <row r="115">
      <c r="A115" s="6" t="inlineStr">
        <is>
          <t>H CHAGAN EOLL</t>
        </is>
      </c>
      <c r="B115" s="6" t="inlineStr">
        <is>
          <t>A-EL PKNG HIGH_RISK</t>
        </is>
      </c>
      <c r="C115" s="7" t="n">
        <v>0</v>
      </c>
      <c r="D115" s="7">
        <f>SUMIF('Week1'!$A:$A,$A115,'Week1'!$D:$D)+SUMIF('Week2'!$A:$A,$A115,'Week2'!$D:$D)+SUMIF('Week3'!$A:$A,$A115,'Week3'!$D:$D)+SUMIF('Week4'!$A:$A,$A115,'Week4'!$D:$D)</f>
        <v/>
      </c>
      <c r="E115" s="7">
        <f>SUMIF('Week1'!$A:$A,$A115,'Week1'!$E:$E)+SUMIF('Week2'!$A:$A,$A115,'Week2'!$E:$E)+SUMIF('Week3'!$A:$A,$A115,'Week3'!$E:$E)+SUMIF('Week4'!$A:$A,$A115,'Week4'!$E:$E)</f>
        <v/>
      </c>
      <c r="F115" s="7">
        <f>SUMIF('Week1'!$A:$A,$A115,'Week1'!$F:$F)+SUMIF('Week2'!$A:$A,$A115,'Week2'!$F:$F)+SUMIF('Week3'!$A:$A,$A115,'Week3'!$F:$F)+SUMIF('Week4'!$A:$A,$A115,'Week4'!$F:$F)</f>
        <v/>
      </c>
      <c r="G115" s="7">
        <f>SUMIF('Week1'!$A:$A,$A115,'Week1'!$G:$G)+SUMIF('Week2'!$A:$A,$A115,'Week2'!$G:$G)+SUMIF('Week3'!$A:$A,$A115,'Week3'!$G:$G)+SUMIF('Week4'!$A:$A,$A115,'Week4'!$G:$G)</f>
        <v/>
      </c>
      <c r="H115" s="7">
        <f>SUMIF('Week1'!$A:$A,$A115,'Week1'!$H:$H)+SUMIF('Week2'!$A:$A,$A115,'Week2'!$H:$H)+SUMIF('Week3'!$A:$A,$A115,'Week3'!$H:$H)+SUMIF('Week4'!$A:$A,$A115,'Week4'!$H:$H)</f>
        <v/>
      </c>
    </row>
    <row r="116">
      <c r="A116" s="6" t="inlineStr">
        <is>
          <t>A CHOTALA EOLL</t>
        </is>
      </c>
      <c r="B116" s="6" t="inlineStr">
        <is>
          <t>A-EL PKNG HIGH_RISK</t>
        </is>
      </c>
      <c r="C116" s="7" t="n">
        <v>0</v>
      </c>
      <c r="D116" s="7">
        <f>SUMIF('Week1'!$A:$A,$A116,'Week1'!$D:$D)+SUMIF('Week2'!$A:$A,$A116,'Week2'!$D:$D)+SUMIF('Week3'!$A:$A,$A116,'Week3'!$D:$D)+SUMIF('Week4'!$A:$A,$A116,'Week4'!$D:$D)</f>
        <v/>
      </c>
      <c r="E116" s="7">
        <f>SUMIF('Week1'!$A:$A,$A116,'Week1'!$E:$E)+SUMIF('Week2'!$A:$A,$A116,'Week2'!$E:$E)+SUMIF('Week3'!$A:$A,$A116,'Week3'!$E:$E)+SUMIF('Week4'!$A:$A,$A116,'Week4'!$E:$E)</f>
        <v/>
      </c>
      <c r="F116" s="7">
        <f>SUMIF('Week1'!$A:$A,$A116,'Week1'!$F:$F)+SUMIF('Week2'!$A:$A,$A116,'Week2'!$F:$F)+SUMIF('Week3'!$A:$A,$A116,'Week3'!$F:$F)+SUMIF('Week4'!$A:$A,$A116,'Week4'!$F:$F)</f>
        <v/>
      </c>
      <c r="G116" s="7">
        <f>SUMIF('Week1'!$A:$A,$A116,'Week1'!$G:$G)+SUMIF('Week2'!$A:$A,$A116,'Week2'!$G:$G)+SUMIF('Week3'!$A:$A,$A116,'Week3'!$G:$G)+SUMIF('Week4'!$A:$A,$A116,'Week4'!$G:$G)</f>
        <v/>
      </c>
      <c r="H116" s="7">
        <f>SUMIF('Week1'!$A:$A,$A116,'Week1'!$H:$H)+SUMIF('Week2'!$A:$A,$A116,'Week2'!$H:$H)+SUMIF('Week3'!$A:$A,$A116,'Week3'!$H:$H)+SUMIF('Week4'!$A:$A,$A116,'Week4'!$H:$H)</f>
        <v/>
      </c>
    </row>
    <row r="117">
      <c r="A117" s="6" t="inlineStr">
        <is>
          <t>M CORREIA EOLL</t>
        </is>
      </c>
      <c r="B117" s="6" t="inlineStr">
        <is>
          <t>A-EL PKNG HIGH_RISK</t>
        </is>
      </c>
      <c r="C117" s="7" t="n">
        <v>0</v>
      </c>
      <c r="D117" s="7">
        <f>SUMIF('Week1'!$A:$A,$A117,'Week1'!$D:$D)+SUMIF('Week2'!$A:$A,$A117,'Week2'!$D:$D)+SUMIF('Week3'!$A:$A,$A117,'Week3'!$D:$D)+SUMIF('Week4'!$A:$A,$A117,'Week4'!$D:$D)</f>
        <v/>
      </c>
      <c r="E117" s="7">
        <f>SUMIF('Week1'!$A:$A,$A117,'Week1'!$E:$E)+SUMIF('Week2'!$A:$A,$A117,'Week2'!$E:$E)+SUMIF('Week3'!$A:$A,$A117,'Week3'!$E:$E)+SUMIF('Week4'!$A:$A,$A117,'Week4'!$E:$E)</f>
        <v/>
      </c>
      <c r="F117" s="7">
        <f>SUMIF('Week1'!$A:$A,$A117,'Week1'!$F:$F)+SUMIF('Week2'!$A:$A,$A117,'Week2'!$F:$F)+SUMIF('Week3'!$A:$A,$A117,'Week3'!$F:$F)+SUMIF('Week4'!$A:$A,$A117,'Week4'!$F:$F)</f>
        <v/>
      </c>
      <c r="G117" s="7">
        <f>SUMIF('Week1'!$A:$A,$A117,'Week1'!$G:$G)+SUMIF('Week2'!$A:$A,$A117,'Week2'!$G:$G)+SUMIF('Week3'!$A:$A,$A117,'Week3'!$G:$G)+SUMIF('Week4'!$A:$A,$A117,'Week4'!$G:$G)</f>
        <v/>
      </c>
      <c r="H117" s="7">
        <f>SUMIF('Week1'!$A:$A,$A117,'Week1'!$H:$H)+SUMIF('Week2'!$A:$A,$A117,'Week2'!$H:$H)+SUMIF('Week3'!$A:$A,$A117,'Week3'!$H:$H)+SUMIF('Week4'!$A:$A,$A117,'Week4'!$H:$H)</f>
        <v/>
      </c>
    </row>
    <row r="118">
      <c r="A118" s="6" t="inlineStr">
        <is>
          <t>R DEVJI BAMANIA EOLL</t>
        </is>
      </c>
      <c r="B118" s="6" t="inlineStr">
        <is>
          <t>A-EL PKNG HIGH_RISK</t>
        </is>
      </c>
      <c r="C118" s="7" t="n">
        <v>0</v>
      </c>
      <c r="D118" s="7">
        <f>SUMIF('Week1'!$A:$A,$A118,'Week1'!$D:$D)+SUMIF('Week2'!$A:$A,$A118,'Week2'!$D:$D)+SUMIF('Week3'!$A:$A,$A118,'Week3'!$D:$D)+SUMIF('Week4'!$A:$A,$A118,'Week4'!$D:$D)</f>
        <v/>
      </c>
      <c r="E118" s="7">
        <f>SUMIF('Week1'!$A:$A,$A118,'Week1'!$E:$E)+SUMIF('Week2'!$A:$A,$A118,'Week2'!$E:$E)+SUMIF('Week3'!$A:$A,$A118,'Week3'!$E:$E)+SUMIF('Week4'!$A:$A,$A118,'Week4'!$E:$E)</f>
        <v/>
      </c>
      <c r="F118" s="7">
        <f>SUMIF('Week1'!$A:$A,$A118,'Week1'!$F:$F)+SUMIF('Week2'!$A:$A,$A118,'Week2'!$F:$F)+SUMIF('Week3'!$A:$A,$A118,'Week3'!$F:$F)+SUMIF('Week4'!$A:$A,$A118,'Week4'!$F:$F)</f>
        <v/>
      </c>
      <c r="G118" s="7">
        <f>SUMIF('Week1'!$A:$A,$A118,'Week1'!$G:$G)+SUMIF('Week2'!$A:$A,$A118,'Week2'!$G:$G)+SUMIF('Week3'!$A:$A,$A118,'Week3'!$G:$G)+SUMIF('Week4'!$A:$A,$A118,'Week4'!$G:$G)</f>
        <v/>
      </c>
      <c r="H118" s="7">
        <f>SUMIF('Week1'!$A:$A,$A118,'Week1'!$H:$H)+SUMIF('Week2'!$A:$A,$A118,'Week2'!$H:$H)+SUMIF('Week3'!$A:$A,$A118,'Week3'!$H:$H)+SUMIF('Week4'!$A:$A,$A118,'Week4'!$H:$H)</f>
        <v/>
      </c>
    </row>
    <row r="119">
      <c r="A119" s="6" t="inlineStr">
        <is>
          <t>P DONGA EOLL</t>
        </is>
      </c>
      <c r="B119" s="6" t="inlineStr">
        <is>
          <t>A-EL PKNG HIGH_RISK</t>
        </is>
      </c>
      <c r="C119" s="7" t="n">
        <v>0</v>
      </c>
      <c r="D119" s="7">
        <f>SUMIF('Week1'!$A:$A,$A119,'Week1'!$D:$D)+SUMIF('Week2'!$A:$A,$A119,'Week2'!$D:$D)+SUMIF('Week3'!$A:$A,$A119,'Week3'!$D:$D)+SUMIF('Week4'!$A:$A,$A119,'Week4'!$D:$D)</f>
        <v/>
      </c>
      <c r="E119" s="7">
        <f>SUMIF('Week1'!$A:$A,$A119,'Week1'!$E:$E)+SUMIF('Week2'!$A:$A,$A119,'Week2'!$E:$E)+SUMIF('Week3'!$A:$A,$A119,'Week3'!$E:$E)+SUMIF('Week4'!$A:$A,$A119,'Week4'!$E:$E)</f>
        <v/>
      </c>
      <c r="F119" s="7">
        <f>SUMIF('Week1'!$A:$A,$A119,'Week1'!$F:$F)+SUMIF('Week2'!$A:$A,$A119,'Week2'!$F:$F)+SUMIF('Week3'!$A:$A,$A119,'Week3'!$F:$F)+SUMIF('Week4'!$A:$A,$A119,'Week4'!$F:$F)</f>
        <v/>
      </c>
      <c r="G119" s="7">
        <f>SUMIF('Week1'!$A:$A,$A119,'Week1'!$G:$G)+SUMIF('Week2'!$A:$A,$A119,'Week2'!$G:$G)+SUMIF('Week3'!$A:$A,$A119,'Week3'!$G:$G)+SUMIF('Week4'!$A:$A,$A119,'Week4'!$G:$G)</f>
        <v/>
      </c>
      <c r="H119" s="7">
        <f>SUMIF('Week1'!$A:$A,$A119,'Week1'!$H:$H)+SUMIF('Week2'!$A:$A,$A119,'Week2'!$H:$H)+SUMIF('Week3'!$A:$A,$A119,'Week3'!$H:$H)+SUMIF('Week4'!$A:$A,$A119,'Week4'!$H:$H)</f>
        <v/>
      </c>
    </row>
    <row r="120">
      <c r="A120" s="6" t="inlineStr">
        <is>
          <t>M GOVIND EOLL</t>
        </is>
      </c>
      <c r="B120" s="6" t="inlineStr">
        <is>
          <t>A-EL PKNG HIGH_RISK</t>
        </is>
      </c>
      <c r="C120" s="7" t="n">
        <v>0</v>
      </c>
      <c r="D120" s="7">
        <f>SUMIF('Week1'!$A:$A,$A120,'Week1'!$D:$D)+SUMIF('Week2'!$A:$A,$A120,'Week2'!$D:$D)+SUMIF('Week3'!$A:$A,$A120,'Week3'!$D:$D)+SUMIF('Week4'!$A:$A,$A120,'Week4'!$D:$D)</f>
        <v/>
      </c>
      <c r="E120" s="7">
        <f>SUMIF('Week1'!$A:$A,$A120,'Week1'!$E:$E)+SUMIF('Week2'!$A:$A,$A120,'Week2'!$E:$E)+SUMIF('Week3'!$A:$A,$A120,'Week3'!$E:$E)+SUMIF('Week4'!$A:$A,$A120,'Week4'!$E:$E)</f>
        <v/>
      </c>
      <c r="F120" s="7">
        <f>SUMIF('Week1'!$A:$A,$A120,'Week1'!$F:$F)+SUMIF('Week2'!$A:$A,$A120,'Week2'!$F:$F)+SUMIF('Week3'!$A:$A,$A120,'Week3'!$F:$F)+SUMIF('Week4'!$A:$A,$A120,'Week4'!$F:$F)</f>
        <v/>
      </c>
      <c r="G120" s="7">
        <f>SUMIF('Week1'!$A:$A,$A120,'Week1'!$G:$G)+SUMIF('Week2'!$A:$A,$A120,'Week2'!$G:$G)+SUMIF('Week3'!$A:$A,$A120,'Week3'!$G:$G)+SUMIF('Week4'!$A:$A,$A120,'Week4'!$G:$G)</f>
        <v/>
      </c>
      <c r="H120" s="7">
        <f>SUMIF('Week1'!$A:$A,$A120,'Week1'!$H:$H)+SUMIF('Week2'!$A:$A,$A120,'Week2'!$H:$H)+SUMIF('Week3'!$A:$A,$A120,'Week3'!$H:$H)+SUMIF('Week4'!$A:$A,$A120,'Week4'!$H:$H)</f>
        <v/>
      </c>
    </row>
    <row r="121">
      <c r="A121" s="6" t="inlineStr">
        <is>
          <t>G GUNABHAI DEVANI EOLL</t>
        </is>
      </c>
      <c r="B121" s="6" t="inlineStr">
        <is>
          <t>A-EL PKNG HIGH_RISK</t>
        </is>
      </c>
      <c r="C121" s="7" t="n">
        <v>0</v>
      </c>
      <c r="D121" s="7">
        <f>SUMIF('Week1'!$A:$A,$A121,'Week1'!$D:$D)+SUMIF('Week2'!$A:$A,$A121,'Week2'!$D:$D)+SUMIF('Week3'!$A:$A,$A121,'Week3'!$D:$D)+SUMIF('Week4'!$A:$A,$A121,'Week4'!$D:$D)</f>
        <v/>
      </c>
      <c r="E121" s="7">
        <f>SUMIF('Week1'!$A:$A,$A121,'Week1'!$E:$E)+SUMIF('Week2'!$A:$A,$A121,'Week2'!$E:$E)+SUMIF('Week3'!$A:$A,$A121,'Week3'!$E:$E)+SUMIF('Week4'!$A:$A,$A121,'Week4'!$E:$E)</f>
        <v/>
      </c>
      <c r="F121" s="7">
        <f>SUMIF('Week1'!$A:$A,$A121,'Week1'!$F:$F)+SUMIF('Week2'!$A:$A,$A121,'Week2'!$F:$F)+SUMIF('Week3'!$A:$A,$A121,'Week3'!$F:$F)+SUMIF('Week4'!$A:$A,$A121,'Week4'!$F:$F)</f>
        <v/>
      </c>
      <c r="G121" s="7">
        <f>SUMIF('Week1'!$A:$A,$A121,'Week1'!$G:$G)+SUMIF('Week2'!$A:$A,$A121,'Week2'!$G:$G)+SUMIF('Week3'!$A:$A,$A121,'Week3'!$G:$G)+SUMIF('Week4'!$A:$A,$A121,'Week4'!$G:$G)</f>
        <v/>
      </c>
      <c r="H121" s="7">
        <f>SUMIF('Week1'!$A:$A,$A121,'Week1'!$H:$H)+SUMIF('Week2'!$A:$A,$A121,'Week2'!$H:$H)+SUMIF('Week3'!$A:$A,$A121,'Week3'!$H:$H)+SUMIF('Week4'!$A:$A,$A121,'Week4'!$H:$H)</f>
        <v/>
      </c>
    </row>
    <row r="122">
      <c r="A122" s="6" t="inlineStr">
        <is>
          <t>K HASMUKHBHAI CHATALIYA EOLL</t>
        </is>
      </c>
      <c r="B122" s="6" t="inlineStr">
        <is>
          <t>A-EL PKNG HIGH_RISK</t>
        </is>
      </c>
      <c r="C122" s="7" t="n">
        <v>0</v>
      </c>
      <c r="D122" s="7">
        <f>SUMIF('Week1'!$A:$A,$A122,'Week1'!$D:$D)+SUMIF('Week2'!$A:$A,$A122,'Week2'!$D:$D)+SUMIF('Week3'!$A:$A,$A122,'Week3'!$D:$D)+SUMIF('Week4'!$A:$A,$A122,'Week4'!$D:$D)</f>
        <v/>
      </c>
      <c r="E122" s="7">
        <f>SUMIF('Week1'!$A:$A,$A122,'Week1'!$E:$E)+SUMIF('Week2'!$A:$A,$A122,'Week2'!$E:$E)+SUMIF('Week3'!$A:$A,$A122,'Week3'!$E:$E)+SUMIF('Week4'!$A:$A,$A122,'Week4'!$E:$E)</f>
        <v/>
      </c>
      <c r="F122" s="7">
        <f>SUMIF('Week1'!$A:$A,$A122,'Week1'!$F:$F)+SUMIF('Week2'!$A:$A,$A122,'Week2'!$F:$F)+SUMIF('Week3'!$A:$A,$A122,'Week3'!$F:$F)+SUMIF('Week4'!$A:$A,$A122,'Week4'!$F:$F)</f>
        <v/>
      </c>
      <c r="G122" s="7">
        <f>SUMIF('Week1'!$A:$A,$A122,'Week1'!$G:$G)+SUMIF('Week2'!$A:$A,$A122,'Week2'!$G:$G)+SUMIF('Week3'!$A:$A,$A122,'Week3'!$G:$G)+SUMIF('Week4'!$A:$A,$A122,'Week4'!$G:$G)</f>
        <v/>
      </c>
      <c r="H122" s="7">
        <f>SUMIF('Week1'!$A:$A,$A122,'Week1'!$H:$H)+SUMIF('Week2'!$A:$A,$A122,'Week2'!$H:$H)+SUMIF('Week3'!$A:$A,$A122,'Week3'!$H:$H)+SUMIF('Week4'!$A:$A,$A122,'Week4'!$H:$H)</f>
        <v/>
      </c>
    </row>
    <row r="123">
      <c r="A123" s="6" t="inlineStr">
        <is>
          <t>S JASOHIYA EOLL</t>
        </is>
      </c>
      <c r="B123" s="6" t="inlineStr">
        <is>
          <t>A-EL PKNG HIGH_RISK</t>
        </is>
      </c>
      <c r="C123" s="7" t="n">
        <v>0</v>
      </c>
      <c r="D123" s="7">
        <f>SUMIF('Week1'!$A:$A,$A123,'Week1'!$D:$D)+SUMIF('Week2'!$A:$A,$A123,'Week2'!$D:$D)+SUMIF('Week3'!$A:$A,$A123,'Week3'!$D:$D)+SUMIF('Week4'!$A:$A,$A123,'Week4'!$D:$D)</f>
        <v/>
      </c>
      <c r="E123" s="7">
        <f>SUMIF('Week1'!$A:$A,$A123,'Week1'!$E:$E)+SUMIF('Week2'!$A:$A,$A123,'Week2'!$E:$E)+SUMIF('Week3'!$A:$A,$A123,'Week3'!$E:$E)+SUMIF('Week4'!$A:$A,$A123,'Week4'!$E:$E)</f>
        <v/>
      </c>
      <c r="F123" s="7">
        <f>SUMIF('Week1'!$A:$A,$A123,'Week1'!$F:$F)+SUMIF('Week2'!$A:$A,$A123,'Week2'!$F:$F)+SUMIF('Week3'!$A:$A,$A123,'Week3'!$F:$F)+SUMIF('Week4'!$A:$A,$A123,'Week4'!$F:$F)</f>
        <v/>
      </c>
      <c r="G123" s="7">
        <f>SUMIF('Week1'!$A:$A,$A123,'Week1'!$G:$G)+SUMIF('Week2'!$A:$A,$A123,'Week2'!$G:$G)+SUMIF('Week3'!$A:$A,$A123,'Week3'!$G:$G)+SUMIF('Week4'!$A:$A,$A123,'Week4'!$G:$G)</f>
        <v/>
      </c>
      <c r="H123" s="7">
        <f>SUMIF('Week1'!$A:$A,$A123,'Week1'!$H:$H)+SUMIF('Week2'!$A:$A,$A123,'Week2'!$H:$H)+SUMIF('Week3'!$A:$A,$A123,'Week3'!$H:$H)+SUMIF('Week4'!$A:$A,$A123,'Week4'!$H:$H)</f>
        <v/>
      </c>
    </row>
    <row r="124">
      <c r="A124" s="6" t="inlineStr">
        <is>
          <t>H KHUNT EOLL</t>
        </is>
      </c>
      <c r="B124" s="6" t="inlineStr">
        <is>
          <t>A-EL PKNG HIGH_RISK</t>
        </is>
      </c>
      <c r="C124" s="7" t="n">
        <v>0</v>
      </c>
      <c r="D124" s="7">
        <f>SUMIF('Week1'!$A:$A,$A124,'Week1'!$D:$D)+SUMIF('Week2'!$A:$A,$A124,'Week2'!$D:$D)+SUMIF('Week3'!$A:$A,$A124,'Week3'!$D:$D)+SUMIF('Week4'!$A:$A,$A124,'Week4'!$D:$D)</f>
        <v/>
      </c>
      <c r="E124" s="7">
        <f>SUMIF('Week1'!$A:$A,$A124,'Week1'!$E:$E)+SUMIF('Week2'!$A:$A,$A124,'Week2'!$E:$E)+SUMIF('Week3'!$A:$A,$A124,'Week3'!$E:$E)+SUMIF('Week4'!$A:$A,$A124,'Week4'!$E:$E)</f>
        <v/>
      </c>
      <c r="F124" s="7">
        <f>SUMIF('Week1'!$A:$A,$A124,'Week1'!$F:$F)+SUMIF('Week2'!$A:$A,$A124,'Week2'!$F:$F)+SUMIF('Week3'!$A:$A,$A124,'Week3'!$F:$F)+SUMIF('Week4'!$A:$A,$A124,'Week4'!$F:$F)</f>
        <v/>
      </c>
      <c r="G124" s="7">
        <f>SUMIF('Week1'!$A:$A,$A124,'Week1'!$G:$G)+SUMIF('Week2'!$A:$A,$A124,'Week2'!$G:$G)+SUMIF('Week3'!$A:$A,$A124,'Week3'!$G:$G)+SUMIF('Week4'!$A:$A,$A124,'Week4'!$G:$G)</f>
        <v/>
      </c>
      <c r="H124" s="7">
        <f>SUMIF('Week1'!$A:$A,$A124,'Week1'!$H:$H)+SUMIF('Week2'!$A:$A,$A124,'Week2'!$H:$H)+SUMIF('Week3'!$A:$A,$A124,'Week3'!$H:$H)+SUMIF('Week4'!$A:$A,$A124,'Week4'!$H:$H)</f>
        <v/>
      </c>
    </row>
    <row r="125">
      <c r="A125" s="6" t="inlineStr">
        <is>
          <t>K KIRAN PATEL EOLL</t>
        </is>
      </c>
      <c r="B125" s="6" t="inlineStr">
        <is>
          <t>A-EL PKNG HIGH_RISK</t>
        </is>
      </c>
      <c r="C125" s="7" t="n">
        <v>0</v>
      </c>
      <c r="D125" s="7">
        <f>SUMIF('Week1'!$A:$A,$A125,'Week1'!$D:$D)+SUMIF('Week2'!$A:$A,$A125,'Week2'!$D:$D)+SUMIF('Week3'!$A:$A,$A125,'Week3'!$D:$D)+SUMIF('Week4'!$A:$A,$A125,'Week4'!$D:$D)</f>
        <v/>
      </c>
      <c r="E125" s="7">
        <f>SUMIF('Week1'!$A:$A,$A125,'Week1'!$E:$E)+SUMIF('Week2'!$A:$A,$A125,'Week2'!$E:$E)+SUMIF('Week3'!$A:$A,$A125,'Week3'!$E:$E)+SUMIF('Week4'!$A:$A,$A125,'Week4'!$E:$E)</f>
        <v/>
      </c>
      <c r="F125" s="7">
        <f>SUMIF('Week1'!$A:$A,$A125,'Week1'!$F:$F)+SUMIF('Week2'!$A:$A,$A125,'Week2'!$F:$F)+SUMIF('Week3'!$A:$A,$A125,'Week3'!$F:$F)+SUMIF('Week4'!$A:$A,$A125,'Week4'!$F:$F)</f>
        <v/>
      </c>
      <c r="G125" s="7">
        <f>SUMIF('Week1'!$A:$A,$A125,'Week1'!$G:$G)+SUMIF('Week2'!$A:$A,$A125,'Week2'!$G:$G)+SUMIF('Week3'!$A:$A,$A125,'Week3'!$G:$G)+SUMIF('Week4'!$A:$A,$A125,'Week4'!$G:$G)</f>
        <v/>
      </c>
      <c r="H125" s="7">
        <f>SUMIF('Week1'!$A:$A,$A125,'Week1'!$H:$H)+SUMIF('Week2'!$A:$A,$A125,'Week2'!$H:$H)+SUMIF('Week3'!$A:$A,$A125,'Week3'!$H:$H)+SUMIF('Week4'!$A:$A,$A125,'Week4'!$H:$H)</f>
        <v/>
      </c>
    </row>
    <row r="126">
      <c r="A126" s="6" t="inlineStr">
        <is>
          <t>A KUMARI YADAV EOLL</t>
        </is>
      </c>
      <c r="B126" s="6" t="inlineStr">
        <is>
          <t>A-EL PKNG HIGH_RISK</t>
        </is>
      </c>
      <c r="C126" s="7" t="n">
        <v>0</v>
      </c>
      <c r="D126" s="7">
        <f>SUMIF('Week1'!$A:$A,$A126,'Week1'!$D:$D)+SUMIF('Week2'!$A:$A,$A126,'Week2'!$D:$D)+SUMIF('Week3'!$A:$A,$A126,'Week3'!$D:$D)+SUMIF('Week4'!$A:$A,$A126,'Week4'!$D:$D)</f>
        <v/>
      </c>
      <c r="E126" s="7">
        <f>SUMIF('Week1'!$A:$A,$A126,'Week1'!$E:$E)+SUMIF('Week2'!$A:$A,$A126,'Week2'!$E:$E)+SUMIF('Week3'!$A:$A,$A126,'Week3'!$E:$E)+SUMIF('Week4'!$A:$A,$A126,'Week4'!$E:$E)</f>
        <v/>
      </c>
      <c r="F126" s="7">
        <f>SUMIF('Week1'!$A:$A,$A126,'Week1'!$F:$F)+SUMIF('Week2'!$A:$A,$A126,'Week2'!$F:$F)+SUMIF('Week3'!$A:$A,$A126,'Week3'!$F:$F)+SUMIF('Week4'!$A:$A,$A126,'Week4'!$F:$F)</f>
        <v/>
      </c>
      <c r="G126" s="7">
        <f>SUMIF('Week1'!$A:$A,$A126,'Week1'!$G:$G)+SUMIF('Week2'!$A:$A,$A126,'Week2'!$G:$G)+SUMIF('Week3'!$A:$A,$A126,'Week3'!$G:$G)+SUMIF('Week4'!$A:$A,$A126,'Week4'!$G:$G)</f>
        <v/>
      </c>
      <c r="H126" s="7">
        <f>SUMIF('Week1'!$A:$A,$A126,'Week1'!$H:$H)+SUMIF('Week2'!$A:$A,$A126,'Week2'!$H:$H)+SUMIF('Week3'!$A:$A,$A126,'Week3'!$H:$H)+SUMIF('Week4'!$A:$A,$A126,'Week4'!$H:$H)</f>
        <v/>
      </c>
    </row>
    <row r="127">
      <c r="A127" s="6" t="inlineStr">
        <is>
          <t>A KUNJADIYA EOLL</t>
        </is>
      </c>
      <c r="B127" s="6" t="inlineStr">
        <is>
          <t>A-EL PKNG HIGH_RISK</t>
        </is>
      </c>
      <c r="C127" s="7" t="n">
        <v>0</v>
      </c>
      <c r="D127" s="7">
        <f>SUMIF('Week1'!$A:$A,$A127,'Week1'!$D:$D)+SUMIF('Week2'!$A:$A,$A127,'Week2'!$D:$D)+SUMIF('Week3'!$A:$A,$A127,'Week3'!$D:$D)+SUMIF('Week4'!$A:$A,$A127,'Week4'!$D:$D)</f>
        <v/>
      </c>
      <c r="E127" s="7">
        <f>SUMIF('Week1'!$A:$A,$A127,'Week1'!$E:$E)+SUMIF('Week2'!$A:$A,$A127,'Week2'!$E:$E)+SUMIF('Week3'!$A:$A,$A127,'Week3'!$E:$E)+SUMIF('Week4'!$A:$A,$A127,'Week4'!$E:$E)</f>
        <v/>
      </c>
      <c r="F127" s="7">
        <f>SUMIF('Week1'!$A:$A,$A127,'Week1'!$F:$F)+SUMIF('Week2'!$A:$A,$A127,'Week2'!$F:$F)+SUMIF('Week3'!$A:$A,$A127,'Week3'!$F:$F)+SUMIF('Week4'!$A:$A,$A127,'Week4'!$F:$F)</f>
        <v/>
      </c>
      <c r="G127" s="7">
        <f>SUMIF('Week1'!$A:$A,$A127,'Week1'!$G:$G)+SUMIF('Week2'!$A:$A,$A127,'Week2'!$G:$G)+SUMIF('Week3'!$A:$A,$A127,'Week3'!$G:$G)+SUMIF('Week4'!$A:$A,$A127,'Week4'!$G:$G)</f>
        <v/>
      </c>
      <c r="H127" s="7">
        <f>SUMIF('Week1'!$A:$A,$A127,'Week1'!$H:$H)+SUMIF('Week2'!$A:$A,$A127,'Week2'!$H:$H)+SUMIF('Week3'!$A:$A,$A127,'Week3'!$H:$H)+SUMIF('Week4'!$A:$A,$A127,'Week4'!$H:$H)</f>
        <v/>
      </c>
    </row>
    <row r="128">
      <c r="A128" s="6" t="inlineStr">
        <is>
          <t>J MAYENKAR EOLL</t>
        </is>
      </c>
      <c r="B128" s="6" t="inlineStr">
        <is>
          <t>A-EL PKNG HIGH_RISK</t>
        </is>
      </c>
      <c r="C128" s="7" t="n">
        <v>0</v>
      </c>
      <c r="D128" s="7">
        <f>SUMIF('Week1'!$A:$A,$A128,'Week1'!$D:$D)+SUMIF('Week2'!$A:$A,$A128,'Week2'!$D:$D)+SUMIF('Week3'!$A:$A,$A128,'Week3'!$D:$D)+SUMIF('Week4'!$A:$A,$A128,'Week4'!$D:$D)</f>
        <v/>
      </c>
      <c r="E128" s="7">
        <f>SUMIF('Week1'!$A:$A,$A128,'Week1'!$E:$E)+SUMIF('Week2'!$A:$A,$A128,'Week2'!$E:$E)+SUMIF('Week3'!$A:$A,$A128,'Week3'!$E:$E)+SUMIF('Week4'!$A:$A,$A128,'Week4'!$E:$E)</f>
        <v/>
      </c>
      <c r="F128" s="7">
        <f>SUMIF('Week1'!$A:$A,$A128,'Week1'!$F:$F)+SUMIF('Week2'!$A:$A,$A128,'Week2'!$F:$F)+SUMIF('Week3'!$A:$A,$A128,'Week3'!$F:$F)+SUMIF('Week4'!$A:$A,$A128,'Week4'!$F:$F)</f>
        <v/>
      </c>
      <c r="G128" s="7">
        <f>SUMIF('Week1'!$A:$A,$A128,'Week1'!$G:$G)+SUMIF('Week2'!$A:$A,$A128,'Week2'!$G:$G)+SUMIF('Week3'!$A:$A,$A128,'Week3'!$G:$G)+SUMIF('Week4'!$A:$A,$A128,'Week4'!$G:$G)</f>
        <v/>
      </c>
      <c r="H128" s="7">
        <f>SUMIF('Week1'!$A:$A,$A128,'Week1'!$H:$H)+SUMIF('Week2'!$A:$A,$A128,'Week2'!$H:$H)+SUMIF('Week3'!$A:$A,$A128,'Week3'!$H:$H)+SUMIF('Week4'!$A:$A,$A128,'Week4'!$H:$H)</f>
        <v/>
      </c>
    </row>
    <row r="129">
      <c r="A129" s="6" t="inlineStr">
        <is>
          <t>J MENDAPARA EOLL</t>
        </is>
      </c>
      <c r="B129" s="6" t="inlineStr">
        <is>
          <t>A-EL PKNG HIGH_RISK</t>
        </is>
      </c>
      <c r="C129" s="7" t="n">
        <v>0</v>
      </c>
      <c r="D129" s="7">
        <f>SUMIF('Week1'!$A:$A,$A129,'Week1'!$D:$D)+SUMIF('Week2'!$A:$A,$A129,'Week2'!$D:$D)+SUMIF('Week3'!$A:$A,$A129,'Week3'!$D:$D)+SUMIF('Week4'!$A:$A,$A129,'Week4'!$D:$D)</f>
        <v/>
      </c>
      <c r="E129" s="7">
        <f>SUMIF('Week1'!$A:$A,$A129,'Week1'!$E:$E)+SUMIF('Week2'!$A:$A,$A129,'Week2'!$E:$E)+SUMIF('Week3'!$A:$A,$A129,'Week3'!$E:$E)+SUMIF('Week4'!$A:$A,$A129,'Week4'!$E:$E)</f>
        <v/>
      </c>
      <c r="F129" s="7">
        <f>SUMIF('Week1'!$A:$A,$A129,'Week1'!$F:$F)+SUMIF('Week2'!$A:$A,$A129,'Week2'!$F:$F)+SUMIF('Week3'!$A:$A,$A129,'Week3'!$F:$F)+SUMIF('Week4'!$A:$A,$A129,'Week4'!$F:$F)</f>
        <v/>
      </c>
      <c r="G129" s="7">
        <f>SUMIF('Week1'!$A:$A,$A129,'Week1'!$G:$G)+SUMIF('Week2'!$A:$A,$A129,'Week2'!$G:$G)+SUMIF('Week3'!$A:$A,$A129,'Week3'!$G:$G)+SUMIF('Week4'!$A:$A,$A129,'Week4'!$G:$G)</f>
        <v/>
      </c>
      <c r="H129" s="7">
        <f>SUMIF('Week1'!$A:$A,$A129,'Week1'!$H:$H)+SUMIF('Week2'!$A:$A,$A129,'Week2'!$H:$H)+SUMIF('Week3'!$A:$A,$A129,'Week3'!$H:$H)+SUMIF('Week4'!$A:$A,$A129,'Week4'!$H:$H)</f>
        <v/>
      </c>
    </row>
    <row r="130">
      <c r="A130" s="6" t="inlineStr">
        <is>
          <t>S MOTISARIYA EOLL</t>
        </is>
      </c>
      <c r="B130" s="6" t="inlineStr">
        <is>
          <t>A-EL PKNG HIGH_RISK</t>
        </is>
      </c>
      <c r="C130" s="7" t="n">
        <v>0</v>
      </c>
      <c r="D130" s="7">
        <f>SUMIF('Week1'!$A:$A,$A130,'Week1'!$D:$D)+SUMIF('Week2'!$A:$A,$A130,'Week2'!$D:$D)+SUMIF('Week3'!$A:$A,$A130,'Week3'!$D:$D)+SUMIF('Week4'!$A:$A,$A130,'Week4'!$D:$D)</f>
        <v/>
      </c>
      <c r="E130" s="7">
        <f>SUMIF('Week1'!$A:$A,$A130,'Week1'!$E:$E)+SUMIF('Week2'!$A:$A,$A130,'Week2'!$E:$E)+SUMIF('Week3'!$A:$A,$A130,'Week3'!$E:$E)+SUMIF('Week4'!$A:$A,$A130,'Week4'!$E:$E)</f>
        <v/>
      </c>
      <c r="F130" s="7">
        <f>SUMIF('Week1'!$A:$A,$A130,'Week1'!$F:$F)+SUMIF('Week2'!$A:$A,$A130,'Week2'!$F:$F)+SUMIF('Week3'!$A:$A,$A130,'Week3'!$F:$F)+SUMIF('Week4'!$A:$A,$A130,'Week4'!$F:$F)</f>
        <v/>
      </c>
      <c r="G130" s="7">
        <f>SUMIF('Week1'!$A:$A,$A130,'Week1'!$G:$G)+SUMIF('Week2'!$A:$A,$A130,'Week2'!$G:$G)+SUMIF('Week3'!$A:$A,$A130,'Week3'!$G:$G)+SUMIF('Week4'!$A:$A,$A130,'Week4'!$G:$G)</f>
        <v/>
      </c>
      <c r="H130" s="7">
        <f>SUMIF('Week1'!$A:$A,$A130,'Week1'!$H:$H)+SUMIF('Week2'!$A:$A,$A130,'Week2'!$H:$H)+SUMIF('Week3'!$A:$A,$A130,'Week3'!$H:$H)+SUMIF('Week4'!$A:$A,$A130,'Week4'!$H:$H)</f>
        <v/>
      </c>
    </row>
    <row r="131">
      <c r="A131" s="6" t="inlineStr">
        <is>
          <t>R NANJI EOLL</t>
        </is>
      </c>
      <c r="B131" s="6" t="inlineStr">
        <is>
          <t>A-EL PKNG HIGH_RISK</t>
        </is>
      </c>
      <c r="C131" s="7" t="n">
        <v>0</v>
      </c>
      <c r="D131" s="7">
        <f>SUMIF('Week1'!$A:$A,$A131,'Week1'!$D:$D)+SUMIF('Week2'!$A:$A,$A131,'Week2'!$D:$D)+SUMIF('Week3'!$A:$A,$A131,'Week3'!$D:$D)+SUMIF('Week4'!$A:$A,$A131,'Week4'!$D:$D)</f>
        <v/>
      </c>
      <c r="E131" s="7">
        <f>SUMIF('Week1'!$A:$A,$A131,'Week1'!$E:$E)+SUMIF('Week2'!$A:$A,$A131,'Week2'!$E:$E)+SUMIF('Week3'!$A:$A,$A131,'Week3'!$E:$E)+SUMIF('Week4'!$A:$A,$A131,'Week4'!$E:$E)</f>
        <v/>
      </c>
      <c r="F131" s="7">
        <f>SUMIF('Week1'!$A:$A,$A131,'Week1'!$F:$F)+SUMIF('Week2'!$A:$A,$A131,'Week2'!$F:$F)+SUMIF('Week3'!$A:$A,$A131,'Week3'!$F:$F)+SUMIF('Week4'!$A:$A,$A131,'Week4'!$F:$F)</f>
        <v/>
      </c>
      <c r="G131" s="7">
        <f>SUMIF('Week1'!$A:$A,$A131,'Week1'!$G:$G)+SUMIF('Week2'!$A:$A,$A131,'Week2'!$G:$G)+SUMIF('Week3'!$A:$A,$A131,'Week3'!$G:$G)+SUMIF('Week4'!$A:$A,$A131,'Week4'!$G:$G)</f>
        <v/>
      </c>
      <c r="H131" s="7">
        <f>SUMIF('Week1'!$A:$A,$A131,'Week1'!$H:$H)+SUMIF('Week2'!$A:$A,$A131,'Week2'!$H:$H)+SUMIF('Week3'!$A:$A,$A131,'Week3'!$H:$H)+SUMIF('Week4'!$A:$A,$A131,'Week4'!$H:$H)</f>
        <v/>
      </c>
    </row>
    <row r="132">
      <c r="A132" s="6" t="inlineStr">
        <is>
          <t>M PARTH MESHIYA EOLL</t>
        </is>
      </c>
      <c r="B132" s="6" t="inlineStr">
        <is>
          <t>A-EL PKNG HIGH_RISK</t>
        </is>
      </c>
      <c r="C132" s="7" t="n">
        <v>0</v>
      </c>
      <c r="D132" s="7">
        <f>SUMIF('Week1'!$A:$A,$A132,'Week1'!$D:$D)+SUMIF('Week2'!$A:$A,$A132,'Week2'!$D:$D)+SUMIF('Week3'!$A:$A,$A132,'Week3'!$D:$D)+SUMIF('Week4'!$A:$A,$A132,'Week4'!$D:$D)</f>
        <v/>
      </c>
      <c r="E132" s="7">
        <f>SUMIF('Week1'!$A:$A,$A132,'Week1'!$E:$E)+SUMIF('Week2'!$A:$A,$A132,'Week2'!$E:$E)+SUMIF('Week3'!$A:$A,$A132,'Week3'!$E:$E)+SUMIF('Week4'!$A:$A,$A132,'Week4'!$E:$E)</f>
        <v/>
      </c>
      <c r="F132" s="7">
        <f>SUMIF('Week1'!$A:$A,$A132,'Week1'!$F:$F)+SUMIF('Week2'!$A:$A,$A132,'Week2'!$F:$F)+SUMIF('Week3'!$A:$A,$A132,'Week3'!$F:$F)+SUMIF('Week4'!$A:$A,$A132,'Week4'!$F:$F)</f>
        <v/>
      </c>
      <c r="G132" s="7">
        <f>SUMIF('Week1'!$A:$A,$A132,'Week1'!$G:$G)+SUMIF('Week2'!$A:$A,$A132,'Week2'!$G:$G)+SUMIF('Week3'!$A:$A,$A132,'Week3'!$G:$G)+SUMIF('Week4'!$A:$A,$A132,'Week4'!$G:$G)</f>
        <v/>
      </c>
      <c r="H132" s="7">
        <f>SUMIF('Week1'!$A:$A,$A132,'Week1'!$H:$H)+SUMIF('Week2'!$A:$A,$A132,'Week2'!$H:$H)+SUMIF('Week3'!$A:$A,$A132,'Week3'!$H:$H)+SUMIF('Week4'!$A:$A,$A132,'Week4'!$H:$H)</f>
        <v/>
      </c>
    </row>
    <row r="133">
      <c r="A133" s="6" t="inlineStr">
        <is>
          <t>A PATEL EOLL</t>
        </is>
      </c>
      <c r="B133" s="6" t="inlineStr">
        <is>
          <t>A-EL PKNG HIGH_RISK</t>
        </is>
      </c>
      <c r="C133" s="7" t="n">
        <v>0</v>
      </c>
      <c r="D133" s="7">
        <f>SUMIF('Week1'!$A:$A,$A133,'Week1'!$D:$D)+SUMIF('Week2'!$A:$A,$A133,'Week2'!$D:$D)+SUMIF('Week3'!$A:$A,$A133,'Week3'!$D:$D)+SUMIF('Week4'!$A:$A,$A133,'Week4'!$D:$D)</f>
        <v/>
      </c>
      <c r="E133" s="7">
        <f>SUMIF('Week1'!$A:$A,$A133,'Week1'!$E:$E)+SUMIF('Week2'!$A:$A,$A133,'Week2'!$E:$E)+SUMIF('Week3'!$A:$A,$A133,'Week3'!$E:$E)+SUMIF('Week4'!$A:$A,$A133,'Week4'!$E:$E)</f>
        <v/>
      </c>
      <c r="F133" s="7">
        <f>SUMIF('Week1'!$A:$A,$A133,'Week1'!$F:$F)+SUMIF('Week2'!$A:$A,$A133,'Week2'!$F:$F)+SUMIF('Week3'!$A:$A,$A133,'Week3'!$F:$F)+SUMIF('Week4'!$A:$A,$A133,'Week4'!$F:$F)</f>
        <v/>
      </c>
      <c r="G133" s="7">
        <f>SUMIF('Week1'!$A:$A,$A133,'Week1'!$G:$G)+SUMIF('Week2'!$A:$A,$A133,'Week2'!$G:$G)+SUMIF('Week3'!$A:$A,$A133,'Week3'!$G:$G)+SUMIF('Week4'!$A:$A,$A133,'Week4'!$G:$G)</f>
        <v/>
      </c>
      <c r="H133" s="7">
        <f>SUMIF('Week1'!$A:$A,$A133,'Week1'!$H:$H)+SUMIF('Week2'!$A:$A,$A133,'Week2'!$H:$H)+SUMIF('Week3'!$A:$A,$A133,'Week3'!$H:$H)+SUMIF('Week4'!$A:$A,$A133,'Week4'!$H:$H)</f>
        <v/>
      </c>
    </row>
    <row r="134">
      <c r="A134" s="6" t="inlineStr">
        <is>
          <t>N PATEL EOLL</t>
        </is>
      </c>
      <c r="B134" s="6" t="inlineStr">
        <is>
          <t>A-EL PKNG HIGH_RISK</t>
        </is>
      </c>
      <c r="C134" s="7" t="n">
        <v>0</v>
      </c>
      <c r="D134" s="7">
        <f>SUMIF('Week1'!$A:$A,$A134,'Week1'!$D:$D)+SUMIF('Week2'!$A:$A,$A134,'Week2'!$D:$D)+SUMIF('Week3'!$A:$A,$A134,'Week3'!$D:$D)+SUMIF('Week4'!$A:$A,$A134,'Week4'!$D:$D)</f>
        <v/>
      </c>
      <c r="E134" s="7">
        <f>SUMIF('Week1'!$A:$A,$A134,'Week1'!$E:$E)+SUMIF('Week2'!$A:$A,$A134,'Week2'!$E:$E)+SUMIF('Week3'!$A:$A,$A134,'Week3'!$E:$E)+SUMIF('Week4'!$A:$A,$A134,'Week4'!$E:$E)</f>
        <v/>
      </c>
      <c r="F134" s="7">
        <f>SUMIF('Week1'!$A:$A,$A134,'Week1'!$F:$F)+SUMIF('Week2'!$A:$A,$A134,'Week2'!$F:$F)+SUMIF('Week3'!$A:$A,$A134,'Week3'!$F:$F)+SUMIF('Week4'!$A:$A,$A134,'Week4'!$F:$F)</f>
        <v/>
      </c>
      <c r="G134" s="7">
        <f>SUMIF('Week1'!$A:$A,$A134,'Week1'!$G:$G)+SUMIF('Week2'!$A:$A,$A134,'Week2'!$G:$G)+SUMIF('Week3'!$A:$A,$A134,'Week3'!$G:$G)+SUMIF('Week4'!$A:$A,$A134,'Week4'!$G:$G)</f>
        <v/>
      </c>
      <c r="H134" s="7">
        <f>SUMIF('Week1'!$A:$A,$A134,'Week1'!$H:$H)+SUMIF('Week2'!$A:$A,$A134,'Week2'!$H:$H)+SUMIF('Week3'!$A:$A,$A134,'Week3'!$H:$H)+SUMIF('Week4'!$A:$A,$A134,'Week4'!$H:$H)</f>
        <v/>
      </c>
    </row>
    <row r="135">
      <c r="A135" s="6" t="inlineStr">
        <is>
          <t>P PATEL EOLL</t>
        </is>
      </c>
      <c r="B135" s="6" t="inlineStr">
        <is>
          <t>A-EL PKNG HIGH_RISK</t>
        </is>
      </c>
      <c r="C135" s="7" t="n">
        <v>0</v>
      </c>
      <c r="D135" s="7">
        <f>SUMIF('Week1'!$A:$A,$A135,'Week1'!$D:$D)+SUMIF('Week2'!$A:$A,$A135,'Week2'!$D:$D)+SUMIF('Week3'!$A:$A,$A135,'Week3'!$D:$D)+SUMIF('Week4'!$A:$A,$A135,'Week4'!$D:$D)</f>
        <v/>
      </c>
      <c r="E135" s="7">
        <f>SUMIF('Week1'!$A:$A,$A135,'Week1'!$E:$E)+SUMIF('Week2'!$A:$A,$A135,'Week2'!$E:$E)+SUMIF('Week3'!$A:$A,$A135,'Week3'!$E:$E)+SUMIF('Week4'!$A:$A,$A135,'Week4'!$E:$E)</f>
        <v/>
      </c>
      <c r="F135" s="7">
        <f>SUMIF('Week1'!$A:$A,$A135,'Week1'!$F:$F)+SUMIF('Week2'!$A:$A,$A135,'Week2'!$F:$F)+SUMIF('Week3'!$A:$A,$A135,'Week3'!$F:$F)+SUMIF('Week4'!$A:$A,$A135,'Week4'!$F:$F)</f>
        <v/>
      </c>
      <c r="G135" s="7">
        <f>SUMIF('Week1'!$A:$A,$A135,'Week1'!$G:$G)+SUMIF('Week2'!$A:$A,$A135,'Week2'!$G:$G)+SUMIF('Week3'!$A:$A,$A135,'Week3'!$G:$G)+SUMIF('Week4'!$A:$A,$A135,'Week4'!$G:$G)</f>
        <v/>
      </c>
      <c r="H135" s="7">
        <f>SUMIF('Week1'!$A:$A,$A135,'Week1'!$H:$H)+SUMIF('Week2'!$A:$A,$A135,'Week2'!$H:$H)+SUMIF('Week3'!$A:$A,$A135,'Week3'!$H:$H)+SUMIF('Week4'!$A:$A,$A135,'Week4'!$H:$H)</f>
        <v/>
      </c>
    </row>
    <row r="136">
      <c r="A136" s="6" t="inlineStr">
        <is>
          <t>S PATEL EOLL</t>
        </is>
      </c>
      <c r="B136" s="6" t="inlineStr">
        <is>
          <t>A-EL PKNG HIGH_RISK</t>
        </is>
      </c>
      <c r="C136" s="7" t="n">
        <v>0</v>
      </c>
      <c r="D136" s="7">
        <f>SUMIF('Week1'!$A:$A,$A136,'Week1'!$D:$D)+SUMIF('Week2'!$A:$A,$A136,'Week2'!$D:$D)+SUMIF('Week3'!$A:$A,$A136,'Week3'!$D:$D)+SUMIF('Week4'!$A:$A,$A136,'Week4'!$D:$D)</f>
        <v/>
      </c>
      <c r="E136" s="7">
        <f>SUMIF('Week1'!$A:$A,$A136,'Week1'!$E:$E)+SUMIF('Week2'!$A:$A,$A136,'Week2'!$E:$E)+SUMIF('Week3'!$A:$A,$A136,'Week3'!$E:$E)+SUMIF('Week4'!$A:$A,$A136,'Week4'!$E:$E)</f>
        <v/>
      </c>
      <c r="F136" s="7">
        <f>SUMIF('Week1'!$A:$A,$A136,'Week1'!$F:$F)+SUMIF('Week2'!$A:$A,$A136,'Week2'!$F:$F)+SUMIF('Week3'!$A:$A,$A136,'Week3'!$F:$F)+SUMIF('Week4'!$A:$A,$A136,'Week4'!$F:$F)</f>
        <v/>
      </c>
      <c r="G136" s="7">
        <f>SUMIF('Week1'!$A:$A,$A136,'Week1'!$G:$G)+SUMIF('Week2'!$A:$A,$A136,'Week2'!$G:$G)+SUMIF('Week3'!$A:$A,$A136,'Week3'!$G:$G)+SUMIF('Week4'!$A:$A,$A136,'Week4'!$G:$G)</f>
        <v/>
      </c>
      <c r="H136" s="7">
        <f>SUMIF('Week1'!$A:$A,$A136,'Week1'!$H:$H)+SUMIF('Week2'!$A:$A,$A136,'Week2'!$H:$H)+SUMIF('Week3'!$A:$A,$A136,'Week3'!$H:$H)+SUMIF('Week4'!$A:$A,$A136,'Week4'!$H:$H)</f>
        <v/>
      </c>
    </row>
    <row r="137">
      <c r="A137" s="6" t="inlineStr">
        <is>
          <t>V PATEL EOLL</t>
        </is>
      </c>
      <c r="B137" s="6" t="inlineStr">
        <is>
          <t>A-EL PKNG HIGH_RISK</t>
        </is>
      </c>
      <c r="C137" s="7" t="n">
        <v>0</v>
      </c>
      <c r="D137" s="7">
        <f>SUMIF('Week1'!$A:$A,$A137,'Week1'!$D:$D)+SUMIF('Week2'!$A:$A,$A137,'Week2'!$D:$D)+SUMIF('Week3'!$A:$A,$A137,'Week3'!$D:$D)+SUMIF('Week4'!$A:$A,$A137,'Week4'!$D:$D)</f>
        <v/>
      </c>
      <c r="E137" s="7">
        <f>SUMIF('Week1'!$A:$A,$A137,'Week1'!$E:$E)+SUMIF('Week2'!$A:$A,$A137,'Week2'!$E:$E)+SUMIF('Week3'!$A:$A,$A137,'Week3'!$E:$E)+SUMIF('Week4'!$A:$A,$A137,'Week4'!$E:$E)</f>
        <v/>
      </c>
      <c r="F137" s="7">
        <f>SUMIF('Week1'!$A:$A,$A137,'Week1'!$F:$F)+SUMIF('Week2'!$A:$A,$A137,'Week2'!$F:$F)+SUMIF('Week3'!$A:$A,$A137,'Week3'!$F:$F)+SUMIF('Week4'!$A:$A,$A137,'Week4'!$F:$F)</f>
        <v/>
      </c>
      <c r="G137" s="7">
        <f>SUMIF('Week1'!$A:$A,$A137,'Week1'!$G:$G)+SUMIF('Week2'!$A:$A,$A137,'Week2'!$G:$G)+SUMIF('Week3'!$A:$A,$A137,'Week3'!$G:$G)+SUMIF('Week4'!$A:$A,$A137,'Week4'!$G:$G)</f>
        <v/>
      </c>
      <c r="H137" s="7">
        <f>SUMIF('Week1'!$A:$A,$A137,'Week1'!$H:$H)+SUMIF('Week2'!$A:$A,$A137,'Week2'!$H:$H)+SUMIF('Week3'!$A:$A,$A137,'Week3'!$H:$H)+SUMIF('Week4'!$A:$A,$A137,'Week4'!$H:$H)</f>
        <v/>
      </c>
    </row>
    <row r="138">
      <c r="A138" s="6" t="inlineStr">
        <is>
          <t>J RAMESH EOLL</t>
        </is>
      </c>
      <c r="B138" s="6" t="inlineStr">
        <is>
          <t>A-EL PKNG HIGH_RISK</t>
        </is>
      </c>
      <c r="C138" s="7" t="n">
        <v>0</v>
      </c>
      <c r="D138" s="7">
        <f>SUMIF('Week1'!$A:$A,$A138,'Week1'!$D:$D)+SUMIF('Week2'!$A:$A,$A138,'Week2'!$D:$D)+SUMIF('Week3'!$A:$A,$A138,'Week3'!$D:$D)+SUMIF('Week4'!$A:$A,$A138,'Week4'!$D:$D)</f>
        <v/>
      </c>
      <c r="E138" s="7">
        <f>SUMIF('Week1'!$A:$A,$A138,'Week1'!$E:$E)+SUMIF('Week2'!$A:$A,$A138,'Week2'!$E:$E)+SUMIF('Week3'!$A:$A,$A138,'Week3'!$E:$E)+SUMIF('Week4'!$A:$A,$A138,'Week4'!$E:$E)</f>
        <v/>
      </c>
      <c r="F138" s="7">
        <f>SUMIF('Week1'!$A:$A,$A138,'Week1'!$F:$F)+SUMIF('Week2'!$A:$A,$A138,'Week2'!$F:$F)+SUMIF('Week3'!$A:$A,$A138,'Week3'!$F:$F)+SUMIF('Week4'!$A:$A,$A138,'Week4'!$F:$F)</f>
        <v/>
      </c>
      <c r="G138" s="7">
        <f>SUMIF('Week1'!$A:$A,$A138,'Week1'!$G:$G)+SUMIF('Week2'!$A:$A,$A138,'Week2'!$G:$G)+SUMIF('Week3'!$A:$A,$A138,'Week3'!$G:$G)+SUMIF('Week4'!$A:$A,$A138,'Week4'!$G:$G)</f>
        <v/>
      </c>
      <c r="H138" s="7">
        <f>SUMIF('Week1'!$A:$A,$A138,'Week1'!$H:$H)+SUMIF('Week2'!$A:$A,$A138,'Week2'!$H:$H)+SUMIF('Week3'!$A:$A,$A138,'Week3'!$H:$H)+SUMIF('Week4'!$A:$A,$A138,'Week4'!$H:$H)</f>
        <v/>
      </c>
    </row>
    <row r="139">
      <c r="A139" s="6" t="inlineStr">
        <is>
          <t>P RAMJI EOLL</t>
        </is>
      </c>
      <c r="B139" s="6" t="inlineStr">
        <is>
          <t>A-EL PKNG HIGH_RISK</t>
        </is>
      </c>
      <c r="C139" s="7" t="n">
        <v>0</v>
      </c>
      <c r="D139" s="7">
        <f>SUMIF('Week1'!$A:$A,$A139,'Week1'!$D:$D)+SUMIF('Week2'!$A:$A,$A139,'Week2'!$D:$D)+SUMIF('Week3'!$A:$A,$A139,'Week3'!$D:$D)+SUMIF('Week4'!$A:$A,$A139,'Week4'!$D:$D)</f>
        <v/>
      </c>
      <c r="E139" s="7">
        <f>SUMIF('Week1'!$A:$A,$A139,'Week1'!$E:$E)+SUMIF('Week2'!$A:$A,$A139,'Week2'!$E:$E)+SUMIF('Week3'!$A:$A,$A139,'Week3'!$E:$E)+SUMIF('Week4'!$A:$A,$A139,'Week4'!$E:$E)</f>
        <v/>
      </c>
      <c r="F139" s="7">
        <f>SUMIF('Week1'!$A:$A,$A139,'Week1'!$F:$F)+SUMIF('Week2'!$A:$A,$A139,'Week2'!$F:$F)+SUMIF('Week3'!$A:$A,$A139,'Week3'!$F:$F)+SUMIF('Week4'!$A:$A,$A139,'Week4'!$F:$F)</f>
        <v/>
      </c>
      <c r="G139" s="7">
        <f>SUMIF('Week1'!$A:$A,$A139,'Week1'!$G:$G)+SUMIF('Week2'!$A:$A,$A139,'Week2'!$G:$G)+SUMIF('Week3'!$A:$A,$A139,'Week3'!$G:$G)+SUMIF('Week4'!$A:$A,$A139,'Week4'!$G:$G)</f>
        <v/>
      </c>
      <c r="H139" s="7">
        <f>SUMIF('Week1'!$A:$A,$A139,'Week1'!$H:$H)+SUMIF('Week2'!$A:$A,$A139,'Week2'!$H:$H)+SUMIF('Week3'!$A:$A,$A139,'Week3'!$H:$H)+SUMIF('Week4'!$A:$A,$A139,'Week4'!$H:$H)</f>
        <v/>
      </c>
    </row>
    <row r="140">
      <c r="A140" s="6" t="inlineStr">
        <is>
          <t>P SATISH EOLL</t>
        </is>
      </c>
      <c r="B140" s="6" t="inlineStr">
        <is>
          <t>A-EL PKNG HIGH_RISK</t>
        </is>
      </c>
      <c r="C140" s="7" t="n">
        <v>0</v>
      </c>
      <c r="D140" s="7">
        <f>SUMIF('Week1'!$A:$A,$A140,'Week1'!$D:$D)+SUMIF('Week2'!$A:$A,$A140,'Week2'!$D:$D)+SUMIF('Week3'!$A:$A,$A140,'Week3'!$D:$D)+SUMIF('Week4'!$A:$A,$A140,'Week4'!$D:$D)</f>
        <v/>
      </c>
      <c r="E140" s="7">
        <f>SUMIF('Week1'!$A:$A,$A140,'Week1'!$E:$E)+SUMIF('Week2'!$A:$A,$A140,'Week2'!$E:$E)+SUMIF('Week3'!$A:$A,$A140,'Week3'!$E:$E)+SUMIF('Week4'!$A:$A,$A140,'Week4'!$E:$E)</f>
        <v/>
      </c>
      <c r="F140" s="7">
        <f>SUMIF('Week1'!$A:$A,$A140,'Week1'!$F:$F)+SUMIF('Week2'!$A:$A,$A140,'Week2'!$F:$F)+SUMIF('Week3'!$A:$A,$A140,'Week3'!$F:$F)+SUMIF('Week4'!$A:$A,$A140,'Week4'!$F:$F)</f>
        <v/>
      </c>
      <c r="G140" s="7">
        <f>SUMIF('Week1'!$A:$A,$A140,'Week1'!$G:$G)+SUMIF('Week2'!$A:$A,$A140,'Week2'!$G:$G)+SUMIF('Week3'!$A:$A,$A140,'Week3'!$G:$G)+SUMIF('Week4'!$A:$A,$A140,'Week4'!$G:$G)</f>
        <v/>
      </c>
      <c r="H140" s="7">
        <f>SUMIF('Week1'!$A:$A,$A140,'Week1'!$H:$H)+SUMIF('Week2'!$A:$A,$A140,'Week2'!$H:$H)+SUMIF('Week3'!$A:$A,$A140,'Week3'!$H:$H)+SUMIF('Week4'!$A:$A,$A140,'Week4'!$H:$H)</f>
        <v/>
      </c>
    </row>
    <row r="141">
      <c r="A141" s="6" t="inlineStr">
        <is>
          <t>J SAVSARIYA EOLL</t>
        </is>
      </c>
      <c r="B141" s="6" t="inlineStr">
        <is>
          <t>A-EL PKNG HIGH_RISK</t>
        </is>
      </c>
      <c r="C141" s="7" t="n">
        <v>0</v>
      </c>
      <c r="D141" s="7">
        <f>SUMIF('Week1'!$A:$A,$A141,'Week1'!$D:$D)+SUMIF('Week2'!$A:$A,$A141,'Week2'!$D:$D)+SUMIF('Week3'!$A:$A,$A141,'Week3'!$D:$D)+SUMIF('Week4'!$A:$A,$A141,'Week4'!$D:$D)</f>
        <v/>
      </c>
      <c r="E141" s="7">
        <f>SUMIF('Week1'!$A:$A,$A141,'Week1'!$E:$E)+SUMIF('Week2'!$A:$A,$A141,'Week2'!$E:$E)+SUMIF('Week3'!$A:$A,$A141,'Week3'!$E:$E)+SUMIF('Week4'!$A:$A,$A141,'Week4'!$E:$E)</f>
        <v/>
      </c>
      <c r="F141" s="7">
        <f>SUMIF('Week1'!$A:$A,$A141,'Week1'!$F:$F)+SUMIF('Week2'!$A:$A,$A141,'Week2'!$F:$F)+SUMIF('Week3'!$A:$A,$A141,'Week3'!$F:$F)+SUMIF('Week4'!$A:$A,$A141,'Week4'!$F:$F)</f>
        <v/>
      </c>
      <c r="G141" s="7">
        <f>SUMIF('Week1'!$A:$A,$A141,'Week1'!$G:$G)+SUMIF('Week2'!$A:$A,$A141,'Week2'!$G:$G)+SUMIF('Week3'!$A:$A,$A141,'Week3'!$G:$G)+SUMIF('Week4'!$A:$A,$A141,'Week4'!$G:$G)</f>
        <v/>
      </c>
      <c r="H141" s="7">
        <f>SUMIF('Week1'!$A:$A,$A141,'Week1'!$H:$H)+SUMIF('Week2'!$A:$A,$A141,'Week2'!$H:$H)+SUMIF('Week3'!$A:$A,$A141,'Week3'!$H:$H)+SUMIF('Week4'!$A:$A,$A141,'Week4'!$H:$H)</f>
        <v/>
      </c>
    </row>
    <row r="142">
      <c r="A142" s="6" t="inlineStr">
        <is>
          <t>R VAGHANI EOLL</t>
        </is>
      </c>
      <c r="B142" s="6" t="inlineStr">
        <is>
          <t>A-EL PKNG HIGH_RISK</t>
        </is>
      </c>
      <c r="C142" s="7" t="n">
        <v>0</v>
      </c>
      <c r="D142" s="7">
        <f>SUMIF('Week1'!$A:$A,$A142,'Week1'!$D:$D)+SUMIF('Week2'!$A:$A,$A142,'Week2'!$D:$D)+SUMIF('Week3'!$A:$A,$A142,'Week3'!$D:$D)+SUMIF('Week4'!$A:$A,$A142,'Week4'!$D:$D)</f>
        <v/>
      </c>
      <c r="E142" s="7">
        <f>SUMIF('Week1'!$A:$A,$A142,'Week1'!$E:$E)+SUMIF('Week2'!$A:$A,$A142,'Week2'!$E:$E)+SUMIF('Week3'!$A:$A,$A142,'Week3'!$E:$E)+SUMIF('Week4'!$A:$A,$A142,'Week4'!$E:$E)</f>
        <v/>
      </c>
      <c r="F142" s="7">
        <f>SUMIF('Week1'!$A:$A,$A142,'Week1'!$F:$F)+SUMIF('Week2'!$A:$A,$A142,'Week2'!$F:$F)+SUMIF('Week3'!$A:$A,$A142,'Week3'!$F:$F)+SUMIF('Week4'!$A:$A,$A142,'Week4'!$F:$F)</f>
        <v/>
      </c>
      <c r="G142" s="7">
        <f>SUMIF('Week1'!$A:$A,$A142,'Week1'!$G:$G)+SUMIF('Week2'!$A:$A,$A142,'Week2'!$G:$G)+SUMIF('Week3'!$A:$A,$A142,'Week3'!$G:$G)+SUMIF('Week4'!$A:$A,$A142,'Week4'!$G:$G)</f>
        <v/>
      </c>
      <c r="H142" s="7">
        <f>SUMIF('Week1'!$A:$A,$A142,'Week1'!$H:$H)+SUMIF('Week2'!$A:$A,$A142,'Week2'!$H:$H)+SUMIF('Week3'!$A:$A,$A142,'Week3'!$H:$H)+SUMIF('Week4'!$A:$A,$A142,'Week4'!$H:$H)</f>
        <v/>
      </c>
    </row>
    <row r="143">
      <c r="A143" s="6" t="inlineStr">
        <is>
          <t>A VAGHASIYA EOLL</t>
        </is>
      </c>
      <c r="B143" s="6" t="inlineStr">
        <is>
          <t>A-EL PKNG HIGH_RISK</t>
        </is>
      </c>
      <c r="C143" s="7" t="n">
        <v>0</v>
      </c>
      <c r="D143" s="7">
        <f>SUMIF('Week1'!$A:$A,$A143,'Week1'!$D:$D)+SUMIF('Week2'!$A:$A,$A143,'Week2'!$D:$D)+SUMIF('Week3'!$A:$A,$A143,'Week3'!$D:$D)+SUMIF('Week4'!$A:$A,$A143,'Week4'!$D:$D)</f>
        <v/>
      </c>
      <c r="E143" s="7">
        <f>SUMIF('Week1'!$A:$A,$A143,'Week1'!$E:$E)+SUMIF('Week2'!$A:$A,$A143,'Week2'!$E:$E)+SUMIF('Week3'!$A:$A,$A143,'Week3'!$E:$E)+SUMIF('Week4'!$A:$A,$A143,'Week4'!$E:$E)</f>
        <v/>
      </c>
      <c r="F143" s="7">
        <f>SUMIF('Week1'!$A:$A,$A143,'Week1'!$F:$F)+SUMIF('Week2'!$A:$A,$A143,'Week2'!$F:$F)+SUMIF('Week3'!$A:$A,$A143,'Week3'!$F:$F)+SUMIF('Week4'!$A:$A,$A143,'Week4'!$F:$F)</f>
        <v/>
      </c>
      <c r="G143" s="7">
        <f>SUMIF('Week1'!$A:$A,$A143,'Week1'!$G:$G)+SUMIF('Week2'!$A:$A,$A143,'Week2'!$G:$G)+SUMIF('Week3'!$A:$A,$A143,'Week3'!$G:$G)+SUMIF('Week4'!$A:$A,$A143,'Week4'!$G:$G)</f>
        <v/>
      </c>
      <c r="H143" s="7">
        <f>SUMIF('Week1'!$A:$A,$A143,'Week1'!$H:$H)+SUMIF('Week2'!$A:$A,$A143,'Week2'!$H:$H)+SUMIF('Week3'!$A:$A,$A143,'Week3'!$H:$H)+SUMIF('Week4'!$A:$A,$A143,'Week4'!$H:$H)</f>
        <v/>
      </c>
    </row>
    <row r="144">
      <c r="A144" s="6" t="inlineStr">
        <is>
          <t>J VAGHASIYA EOLL</t>
        </is>
      </c>
      <c r="B144" s="6" t="inlineStr">
        <is>
          <t>A-EL PKNG HIGH_RISK</t>
        </is>
      </c>
      <c r="C144" s="7" t="n">
        <v>0</v>
      </c>
      <c r="D144" s="7">
        <f>SUMIF('Week1'!$A:$A,$A144,'Week1'!$D:$D)+SUMIF('Week2'!$A:$A,$A144,'Week2'!$D:$D)+SUMIF('Week3'!$A:$A,$A144,'Week3'!$D:$D)+SUMIF('Week4'!$A:$A,$A144,'Week4'!$D:$D)</f>
        <v/>
      </c>
      <c r="E144" s="7">
        <f>SUMIF('Week1'!$A:$A,$A144,'Week1'!$E:$E)+SUMIF('Week2'!$A:$A,$A144,'Week2'!$E:$E)+SUMIF('Week3'!$A:$A,$A144,'Week3'!$E:$E)+SUMIF('Week4'!$A:$A,$A144,'Week4'!$E:$E)</f>
        <v/>
      </c>
      <c r="F144" s="7">
        <f>SUMIF('Week1'!$A:$A,$A144,'Week1'!$F:$F)+SUMIF('Week2'!$A:$A,$A144,'Week2'!$F:$F)+SUMIF('Week3'!$A:$A,$A144,'Week3'!$F:$F)+SUMIF('Week4'!$A:$A,$A144,'Week4'!$F:$F)</f>
        <v/>
      </c>
      <c r="G144" s="7">
        <f>SUMIF('Week1'!$A:$A,$A144,'Week1'!$G:$G)+SUMIF('Week2'!$A:$A,$A144,'Week2'!$G:$G)+SUMIF('Week3'!$A:$A,$A144,'Week3'!$G:$G)+SUMIF('Week4'!$A:$A,$A144,'Week4'!$G:$G)</f>
        <v/>
      </c>
      <c r="H144" s="7">
        <f>SUMIF('Week1'!$A:$A,$A144,'Week1'!$H:$H)+SUMIF('Week2'!$A:$A,$A144,'Week2'!$H:$H)+SUMIF('Week3'!$A:$A,$A144,'Week3'!$H:$H)+SUMIF('Week4'!$A:$A,$A144,'Week4'!$H:$H)</f>
        <v/>
      </c>
    </row>
    <row r="145">
      <c r="A145" s="6" t="inlineStr">
        <is>
          <t>A AGARWAL EOLL</t>
        </is>
      </c>
      <c r="B145" s="6" t="inlineStr">
        <is>
          <t>A-EL PKNG SLEEVING</t>
        </is>
      </c>
      <c r="C145" s="7" t="n">
        <v>0</v>
      </c>
      <c r="D145" s="7">
        <f>SUMIF('Week1'!$A:$A,$A145,'Week1'!$D:$D)+SUMIF('Week2'!$A:$A,$A145,'Week2'!$D:$D)+SUMIF('Week3'!$A:$A,$A145,'Week3'!$D:$D)+SUMIF('Week4'!$A:$A,$A145,'Week4'!$D:$D)</f>
        <v/>
      </c>
      <c r="E145" s="7">
        <f>SUMIF('Week1'!$A:$A,$A145,'Week1'!$E:$E)+SUMIF('Week2'!$A:$A,$A145,'Week2'!$E:$E)+SUMIF('Week3'!$A:$A,$A145,'Week3'!$E:$E)+SUMIF('Week4'!$A:$A,$A145,'Week4'!$E:$E)</f>
        <v/>
      </c>
      <c r="F145" s="7">
        <f>SUMIF('Week1'!$A:$A,$A145,'Week1'!$F:$F)+SUMIF('Week2'!$A:$A,$A145,'Week2'!$F:$F)+SUMIF('Week3'!$A:$A,$A145,'Week3'!$F:$F)+SUMIF('Week4'!$A:$A,$A145,'Week4'!$F:$F)</f>
        <v/>
      </c>
      <c r="G145" s="7">
        <f>SUMIF('Week1'!$A:$A,$A145,'Week1'!$G:$G)+SUMIF('Week2'!$A:$A,$A145,'Week2'!$G:$G)+SUMIF('Week3'!$A:$A,$A145,'Week3'!$G:$G)+SUMIF('Week4'!$A:$A,$A145,'Week4'!$G:$G)</f>
        <v/>
      </c>
      <c r="H145" s="7">
        <f>SUMIF('Week1'!$A:$A,$A145,'Week1'!$H:$H)+SUMIF('Week2'!$A:$A,$A145,'Week2'!$H:$H)+SUMIF('Week3'!$A:$A,$A145,'Week3'!$H:$H)+SUMIF('Week4'!$A:$A,$A145,'Week4'!$H:$H)</f>
        <v/>
      </c>
    </row>
    <row r="146">
      <c r="A146" s="6" t="inlineStr">
        <is>
          <t>J BELADIYA EOLL</t>
        </is>
      </c>
      <c r="B146" s="6" t="inlineStr">
        <is>
          <t>A-EL PKNG SLEEVING</t>
        </is>
      </c>
      <c r="C146" s="7" t="n">
        <v>0</v>
      </c>
      <c r="D146" s="7">
        <f>SUMIF('Week1'!$A:$A,$A146,'Week1'!$D:$D)+SUMIF('Week2'!$A:$A,$A146,'Week2'!$D:$D)+SUMIF('Week3'!$A:$A,$A146,'Week3'!$D:$D)+SUMIF('Week4'!$A:$A,$A146,'Week4'!$D:$D)</f>
        <v/>
      </c>
      <c r="E146" s="7">
        <f>SUMIF('Week1'!$A:$A,$A146,'Week1'!$E:$E)+SUMIF('Week2'!$A:$A,$A146,'Week2'!$E:$E)+SUMIF('Week3'!$A:$A,$A146,'Week3'!$E:$E)+SUMIF('Week4'!$A:$A,$A146,'Week4'!$E:$E)</f>
        <v/>
      </c>
      <c r="F146" s="7">
        <f>SUMIF('Week1'!$A:$A,$A146,'Week1'!$F:$F)+SUMIF('Week2'!$A:$A,$A146,'Week2'!$F:$F)+SUMIF('Week3'!$A:$A,$A146,'Week3'!$F:$F)+SUMIF('Week4'!$A:$A,$A146,'Week4'!$F:$F)</f>
        <v/>
      </c>
      <c r="G146" s="7">
        <f>SUMIF('Week1'!$A:$A,$A146,'Week1'!$G:$G)+SUMIF('Week2'!$A:$A,$A146,'Week2'!$G:$G)+SUMIF('Week3'!$A:$A,$A146,'Week3'!$G:$G)+SUMIF('Week4'!$A:$A,$A146,'Week4'!$G:$G)</f>
        <v/>
      </c>
      <c r="H146" s="7">
        <f>SUMIF('Week1'!$A:$A,$A146,'Week1'!$H:$H)+SUMIF('Week2'!$A:$A,$A146,'Week2'!$H:$H)+SUMIF('Week3'!$A:$A,$A146,'Week3'!$H:$H)+SUMIF('Week4'!$A:$A,$A146,'Week4'!$H:$H)</f>
        <v/>
      </c>
    </row>
    <row r="147">
      <c r="A147" s="6" t="inlineStr">
        <is>
          <t>B CHAVDA EOLL</t>
        </is>
      </c>
      <c r="B147" s="6" t="inlineStr">
        <is>
          <t>A-EL PKNG SLEEVING</t>
        </is>
      </c>
      <c r="C147" s="7" t="n">
        <v>0</v>
      </c>
      <c r="D147" s="7">
        <f>SUMIF('Week1'!$A:$A,$A147,'Week1'!$D:$D)+SUMIF('Week2'!$A:$A,$A147,'Week2'!$D:$D)+SUMIF('Week3'!$A:$A,$A147,'Week3'!$D:$D)+SUMIF('Week4'!$A:$A,$A147,'Week4'!$D:$D)</f>
        <v/>
      </c>
      <c r="E147" s="7">
        <f>SUMIF('Week1'!$A:$A,$A147,'Week1'!$E:$E)+SUMIF('Week2'!$A:$A,$A147,'Week2'!$E:$E)+SUMIF('Week3'!$A:$A,$A147,'Week3'!$E:$E)+SUMIF('Week4'!$A:$A,$A147,'Week4'!$E:$E)</f>
        <v/>
      </c>
      <c r="F147" s="7">
        <f>SUMIF('Week1'!$A:$A,$A147,'Week1'!$F:$F)+SUMIF('Week2'!$A:$A,$A147,'Week2'!$F:$F)+SUMIF('Week3'!$A:$A,$A147,'Week3'!$F:$F)+SUMIF('Week4'!$A:$A,$A147,'Week4'!$F:$F)</f>
        <v/>
      </c>
      <c r="G147" s="7">
        <f>SUMIF('Week1'!$A:$A,$A147,'Week1'!$G:$G)+SUMIF('Week2'!$A:$A,$A147,'Week2'!$G:$G)+SUMIF('Week3'!$A:$A,$A147,'Week3'!$G:$G)+SUMIF('Week4'!$A:$A,$A147,'Week4'!$G:$G)</f>
        <v/>
      </c>
      <c r="H147" s="7">
        <f>SUMIF('Week1'!$A:$A,$A147,'Week1'!$H:$H)+SUMIF('Week2'!$A:$A,$A147,'Week2'!$H:$H)+SUMIF('Week3'!$A:$A,$A147,'Week3'!$H:$H)+SUMIF('Week4'!$A:$A,$A147,'Week4'!$H:$H)</f>
        <v/>
      </c>
    </row>
    <row r="148">
      <c r="A148" s="6" t="inlineStr">
        <is>
          <t>N JAMNADAS EOLL</t>
        </is>
      </c>
      <c r="B148" s="6" t="inlineStr">
        <is>
          <t>A-EL PKNG SLEEVING</t>
        </is>
      </c>
      <c r="C148" s="7" t="n">
        <v>0</v>
      </c>
      <c r="D148" s="7">
        <f>SUMIF('Week1'!$A:$A,$A148,'Week1'!$D:$D)+SUMIF('Week2'!$A:$A,$A148,'Week2'!$D:$D)+SUMIF('Week3'!$A:$A,$A148,'Week3'!$D:$D)+SUMIF('Week4'!$A:$A,$A148,'Week4'!$D:$D)</f>
        <v/>
      </c>
      <c r="E148" s="7">
        <f>SUMIF('Week1'!$A:$A,$A148,'Week1'!$E:$E)+SUMIF('Week2'!$A:$A,$A148,'Week2'!$E:$E)+SUMIF('Week3'!$A:$A,$A148,'Week3'!$E:$E)+SUMIF('Week4'!$A:$A,$A148,'Week4'!$E:$E)</f>
        <v/>
      </c>
      <c r="F148" s="7">
        <f>SUMIF('Week1'!$A:$A,$A148,'Week1'!$F:$F)+SUMIF('Week2'!$A:$A,$A148,'Week2'!$F:$F)+SUMIF('Week3'!$A:$A,$A148,'Week3'!$F:$F)+SUMIF('Week4'!$A:$A,$A148,'Week4'!$F:$F)</f>
        <v/>
      </c>
      <c r="G148" s="7">
        <f>SUMIF('Week1'!$A:$A,$A148,'Week1'!$G:$G)+SUMIF('Week2'!$A:$A,$A148,'Week2'!$G:$G)+SUMIF('Week3'!$A:$A,$A148,'Week3'!$G:$G)+SUMIF('Week4'!$A:$A,$A148,'Week4'!$G:$G)</f>
        <v/>
      </c>
      <c r="H148" s="7">
        <f>SUMIF('Week1'!$A:$A,$A148,'Week1'!$H:$H)+SUMIF('Week2'!$A:$A,$A148,'Week2'!$H:$H)+SUMIF('Week3'!$A:$A,$A148,'Week3'!$H:$H)+SUMIF('Week4'!$A:$A,$A148,'Week4'!$H:$H)</f>
        <v/>
      </c>
    </row>
    <row r="149">
      <c r="A149" s="6" t="inlineStr">
        <is>
          <t>H KANANI EOLL</t>
        </is>
      </c>
      <c r="B149" s="6" t="inlineStr">
        <is>
          <t>A-EL PKNG SLEEVING</t>
        </is>
      </c>
      <c r="C149" s="7" t="n">
        <v>0</v>
      </c>
      <c r="D149" s="7">
        <f>SUMIF('Week1'!$A:$A,$A149,'Week1'!$D:$D)+SUMIF('Week2'!$A:$A,$A149,'Week2'!$D:$D)+SUMIF('Week3'!$A:$A,$A149,'Week3'!$D:$D)+SUMIF('Week4'!$A:$A,$A149,'Week4'!$D:$D)</f>
        <v/>
      </c>
      <c r="E149" s="7">
        <f>SUMIF('Week1'!$A:$A,$A149,'Week1'!$E:$E)+SUMIF('Week2'!$A:$A,$A149,'Week2'!$E:$E)+SUMIF('Week3'!$A:$A,$A149,'Week3'!$E:$E)+SUMIF('Week4'!$A:$A,$A149,'Week4'!$E:$E)</f>
        <v/>
      </c>
      <c r="F149" s="7">
        <f>SUMIF('Week1'!$A:$A,$A149,'Week1'!$F:$F)+SUMIF('Week2'!$A:$A,$A149,'Week2'!$F:$F)+SUMIF('Week3'!$A:$A,$A149,'Week3'!$F:$F)+SUMIF('Week4'!$A:$A,$A149,'Week4'!$F:$F)</f>
        <v/>
      </c>
      <c r="G149" s="7">
        <f>SUMIF('Week1'!$A:$A,$A149,'Week1'!$G:$G)+SUMIF('Week2'!$A:$A,$A149,'Week2'!$G:$G)+SUMIF('Week3'!$A:$A,$A149,'Week3'!$G:$G)+SUMIF('Week4'!$A:$A,$A149,'Week4'!$G:$G)</f>
        <v/>
      </c>
      <c r="H149" s="7">
        <f>SUMIF('Week1'!$A:$A,$A149,'Week1'!$H:$H)+SUMIF('Week2'!$A:$A,$A149,'Week2'!$H:$H)+SUMIF('Week3'!$A:$A,$A149,'Week3'!$H:$H)+SUMIF('Week4'!$A:$A,$A149,'Week4'!$H:$H)</f>
        <v/>
      </c>
    </row>
    <row r="150">
      <c r="A150" s="6" t="inlineStr">
        <is>
          <t>J KOSHTI EOLL</t>
        </is>
      </c>
      <c r="B150" s="6" t="inlineStr">
        <is>
          <t>A-EL PKNG SLEEVING</t>
        </is>
      </c>
      <c r="C150" s="7" t="n">
        <v>0</v>
      </c>
      <c r="D150" s="7">
        <f>SUMIF('Week1'!$A:$A,$A150,'Week1'!$D:$D)+SUMIF('Week2'!$A:$A,$A150,'Week2'!$D:$D)+SUMIF('Week3'!$A:$A,$A150,'Week3'!$D:$D)+SUMIF('Week4'!$A:$A,$A150,'Week4'!$D:$D)</f>
        <v/>
      </c>
      <c r="E150" s="7">
        <f>SUMIF('Week1'!$A:$A,$A150,'Week1'!$E:$E)+SUMIF('Week2'!$A:$A,$A150,'Week2'!$E:$E)+SUMIF('Week3'!$A:$A,$A150,'Week3'!$E:$E)+SUMIF('Week4'!$A:$A,$A150,'Week4'!$E:$E)</f>
        <v/>
      </c>
      <c r="F150" s="7">
        <f>SUMIF('Week1'!$A:$A,$A150,'Week1'!$F:$F)+SUMIF('Week2'!$A:$A,$A150,'Week2'!$F:$F)+SUMIF('Week3'!$A:$A,$A150,'Week3'!$F:$F)+SUMIF('Week4'!$A:$A,$A150,'Week4'!$F:$F)</f>
        <v/>
      </c>
      <c r="G150" s="7">
        <f>SUMIF('Week1'!$A:$A,$A150,'Week1'!$G:$G)+SUMIF('Week2'!$A:$A,$A150,'Week2'!$G:$G)+SUMIF('Week3'!$A:$A,$A150,'Week3'!$G:$G)+SUMIF('Week4'!$A:$A,$A150,'Week4'!$G:$G)</f>
        <v/>
      </c>
      <c r="H150" s="7">
        <f>SUMIF('Week1'!$A:$A,$A150,'Week1'!$H:$H)+SUMIF('Week2'!$A:$A,$A150,'Week2'!$H:$H)+SUMIF('Week3'!$A:$A,$A150,'Week3'!$H:$H)+SUMIF('Week4'!$A:$A,$A150,'Week4'!$H:$H)</f>
        <v/>
      </c>
    </row>
    <row r="151">
      <c r="A151" s="6" t="inlineStr">
        <is>
          <t>N MAKVANA EOLL</t>
        </is>
      </c>
      <c r="B151" s="6" t="inlineStr">
        <is>
          <t>A-EL PKNG SLEEVING</t>
        </is>
      </c>
      <c r="C151" s="7" t="n">
        <v>0</v>
      </c>
      <c r="D151" s="7">
        <f>SUMIF('Week1'!$A:$A,$A151,'Week1'!$D:$D)+SUMIF('Week2'!$A:$A,$A151,'Week2'!$D:$D)+SUMIF('Week3'!$A:$A,$A151,'Week3'!$D:$D)+SUMIF('Week4'!$A:$A,$A151,'Week4'!$D:$D)</f>
        <v/>
      </c>
      <c r="E151" s="7">
        <f>SUMIF('Week1'!$A:$A,$A151,'Week1'!$E:$E)+SUMIF('Week2'!$A:$A,$A151,'Week2'!$E:$E)+SUMIF('Week3'!$A:$A,$A151,'Week3'!$E:$E)+SUMIF('Week4'!$A:$A,$A151,'Week4'!$E:$E)</f>
        <v/>
      </c>
      <c r="F151" s="7">
        <f>SUMIF('Week1'!$A:$A,$A151,'Week1'!$F:$F)+SUMIF('Week2'!$A:$A,$A151,'Week2'!$F:$F)+SUMIF('Week3'!$A:$A,$A151,'Week3'!$F:$F)+SUMIF('Week4'!$A:$A,$A151,'Week4'!$F:$F)</f>
        <v/>
      </c>
      <c r="G151" s="7">
        <f>SUMIF('Week1'!$A:$A,$A151,'Week1'!$G:$G)+SUMIF('Week2'!$A:$A,$A151,'Week2'!$G:$G)+SUMIF('Week3'!$A:$A,$A151,'Week3'!$G:$G)+SUMIF('Week4'!$A:$A,$A151,'Week4'!$G:$G)</f>
        <v/>
      </c>
      <c r="H151" s="7">
        <f>SUMIF('Week1'!$A:$A,$A151,'Week1'!$H:$H)+SUMIF('Week2'!$A:$A,$A151,'Week2'!$H:$H)+SUMIF('Week3'!$A:$A,$A151,'Week3'!$H:$H)+SUMIF('Week4'!$A:$A,$A151,'Week4'!$H:$H)</f>
        <v/>
      </c>
    </row>
    <row r="152">
      <c r="A152" s="6" t="inlineStr">
        <is>
          <t>D MUKESHKUMAR EOLL</t>
        </is>
      </c>
      <c r="B152" s="6" t="inlineStr">
        <is>
          <t>A-EL PKNG SLEEVING</t>
        </is>
      </c>
      <c r="C152" s="7" t="n">
        <v>0</v>
      </c>
      <c r="D152" s="7">
        <f>SUMIF('Week1'!$A:$A,$A152,'Week1'!$D:$D)+SUMIF('Week2'!$A:$A,$A152,'Week2'!$D:$D)+SUMIF('Week3'!$A:$A,$A152,'Week3'!$D:$D)+SUMIF('Week4'!$A:$A,$A152,'Week4'!$D:$D)</f>
        <v/>
      </c>
      <c r="E152" s="7">
        <f>SUMIF('Week1'!$A:$A,$A152,'Week1'!$E:$E)+SUMIF('Week2'!$A:$A,$A152,'Week2'!$E:$E)+SUMIF('Week3'!$A:$A,$A152,'Week3'!$E:$E)+SUMIF('Week4'!$A:$A,$A152,'Week4'!$E:$E)</f>
        <v/>
      </c>
      <c r="F152" s="7">
        <f>SUMIF('Week1'!$A:$A,$A152,'Week1'!$F:$F)+SUMIF('Week2'!$A:$A,$A152,'Week2'!$F:$F)+SUMIF('Week3'!$A:$A,$A152,'Week3'!$F:$F)+SUMIF('Week4'!$A:$A,$A152,'Week4'!$F:$F)</f>
        <v/>
      </c>
      <c r="G152" s="7">
        <f>SUMIF('Week1'!$A:$A,$A152,'Week1'!$G:$G)+SUMIF('Week2'!$A:$A,$A152,'Week2'!$G:$G)+SUMIF('Week3'!$A:$A,$A152,'Week3'!$G:$G)+SUMIF('Week4'!$A:$A,$A152,'Week4'!$G:$G)</f>
        <v/>
      </c>
      <c r="H152" s="7">
        <f>SUMIF('Week1'!$A:$A,$A152,'Week1'!$H:$H)+SUMIF('Week2'!$A:$A,$A152,'Week2'!$H:$H)+SUMIF('Week3'!$A:$A,$A152,'Week3'!$H:$H)+SUMIF('Week4'!$A:$A,$A152,'Week4'!$H:$H)</f>
        <v/>
      </c>
    </row>
    <row r="153">
      <c r="A153" s="6" t="inlineStr">
        <is>
          <t>L PATEL EOLL</t>
        </is>
      </c>
      <c r="B153" s="6" t="inlineStr">
        <is>
          <t>A-EL PKNG SLEEVING</t>
        </is>
      </c>
      <c r="C153" s="7" t="n">
        <v>0</v>
      </c>
      <c r="D153" s="7">
        <f>SUMIF('Week1'!$A:$A,$A153,'Week1'!$D:$D)+SUMIF('Week2'!$A:$A,$A153,'Week2'!$D:$D)+SUMIF('Week3'!$A:$A,$A153,'Week3'!$D:$D)+SUMIF('Week4'!$A:$A,$A153,'Week4'!$D:$D)</f>
        <v/>
      </c>
      <c r="E153" s="7">
        <f>SUMIF('Week1'!$A:$A,$A153,'Week1'!$E:$E)+SUMIF('Week2'!$A:$A,$A153,'Week2'!$E:$E)+SUMIF('Week3'!$A:$A,$A153,'Week3'!$E:$E)+SUMIF('Week4'!$A:$A,$A153,'Week4'!$E:$E)</f>
        <v/>
      </c>
      <c r="F153" s="7">
        <f>SUMIF('Week1'!$A:$A,$A153,'Week1'!$F:$F)+SUMIF('Week2'!$A:$A,$A153,'Week2'!$F:$F)+SUMIF('Week3'!$A:$A,$A153,'Week3'!$F:$F)+SUMIF('Week4'!$A:$A,$A153,'Week4'!$F:$F)</f>
        <v/>
      </c>
      <c r="G153" s="7">
        <f>SUMIF('Week1'!$A:$A,$A153,'Week1'!$G:$G)+SUMIF('Week2'!$A:$A,$A153,'Week2'!$G:$G)+SUMIF('Week3'!$A:$A,$A153,'Week3'!$G:$G)+SUMIF('Week4'!$A:$A,$A153,'Week4'!$G:$G)</f>
        <v/>
      </c>
      <c r="H153" s="7">
        <f>SUMIF('Week1'!$A:$A,$A153,'Week1'!$H:$H)+SUMIF('Week2'!$A:$A,$A153,'Week2'!$H:$H)+SUMIF('Week3'!$A:$A,$A153,'Week3'!$H:$H)+SUMIF('Week4'!$A:$A,$A153,'Week4'!$H:$H)</f>
        <v/>
      </c>
    </row>
    <row r="154">
      <c r="A154" s="6" t="inlineStr">
        <is>
          <t>N PETHANI EOLL</t>
        </is>
      </c>
      <c r="B154" s="6" t="inlineStr">
        <is>
          <t>A-EL PKNG SLEEVING</t>
        </is>
      </c>
      <c r="C154" s="7" t="n">
        <v>0</v>
      </c>
      <c r="D154" s="7">
        <f>SUMIF('Week1'!$A:$A,$A154,'Week1'!$D:$D)+SUMIF('Week2'!$A:$A,$A154,'Week2'!$D:$D)+SUMIF('Week3'!$A:$A,$A154,'Week3'!$D:$D)+SUMIF('Week4'!$A:$A,$A154,'Week4'!$D:$D)</f>
        <v/>
      </c>
      <c r="E154" s="7">
        <f>SUMIF('Week1'!$A:$A,$A154,'Week1'!$E:$E)+SUMIF('Week2'!$A:$A,$A154,'Week2'!$E:$E)+SUMIF('Week3'!$A:$A,$A154,'Week3'!$E:$E)+SUMIF('Week4'!$A:$A,$A154,'Week4'!$E:$E)</f>
        <v/>
      </c>
      <c r="F154" s="7">
        <f>SUMIF('Week1'!$A:$A,$A154,'Week1'!$F:$F)+SUMIF('Week2'!$A:$A,$A154,'Week2'!$F:$F)+SUMIF('Week3'!$A:$A,$A154,'Week3'!$F:$F)+SUMIF('Week4'!$A:$A,$A154,'Week4'!$F:$F)</f>
        <v/>
      </c>
      <c r="G154" s="7">
        <f>SUMIF('Week1'!$A:$A,$A154,'Week1'!$G:$G)+SUMIF('Week2'!$A:$A,$A154,'Week2'!$G:$G)+SUMIF('Week3'!$A:$A,$A154,'Week3'!$G:$G)+SUMIF('Week4'!$A:$A,$A154,'Week4'!$G:$G)</f>
        <v/>
      </c>
      <c r="H154" s="7">
        <f>SUMIF('Week1'!$A:$A,$A154,'Week1'!$H:$H)+SUMIF('Week2'!$A:$A,$A154,'Week2'!$H:$H)+SUMIF('Week3'!$A:$A,$A154,'Week3'!$H:$H)+SUMIF('Week4'!$A:$A,$A154,'Week4'!$H:$H)</f>
        <v/>
      </c>
    </row>
    <row r="155">
      <c r="A155" s="6" t="inlineStr">
        <is>
          <t>N RAMESH EOLL</t>
        </is>
      </c>
      <c r="B155" s="6" t="inlineStr">
        <is>
          <t>A-EL PKNG SLEEVING</t>
        </is>
      </c>
      <c r="C155" s="7" t="n">
        <v>0</v>
      </c>
      <c r="D155" s="7">
        <f>SUMIF('Week1'!$A:$A,$A155,'Week1'!$D:$D)+SUMIF('Week2'!$A:$A,$A155,'Week2'!$D:$D)+SUMIF('Week3'!$A:$A,$A155,'Week3'!$D:$D)+SUMIF('Week4'!$A:$A,$A155,'Week4'!$D:$D)</f>
        <v/>
      </c>
      <c r="E155" s="7">
        <f>SUMIF('Week1'!$A:$A,$A155,'Week1'!$E:$E)+SUMIF('Week2'!$A:$A,$A155,'Week2'!$E:$E)+SUMIF('Week3'!$A:$A,$A155,'Week3'!$E:$E)+SUMIF('Week4'!$A:$A,$A155,'Week4'!$E:$E)</f>
        <v/>
      </c>
      <c r="F155" s="7">
        <f>SUMIF('Week1'!$A:$A,$A155,'Week1'!$F:$F)+SUMIF('Week2'!$A:$A,$A155,'Week2'!$F:$F)+SUMIF('Week3'!$A:$A,$A155,'Week3'!$F:$F)+SUMIF('Week4'!$A:$A,$A155,'Week4'!$F:$F)</f>
        <v/>
      </c>
      <c r="G155" s="7">
        <f>SUMIF('Week1'!$A:$A,$A155,'Week1'!$G:$G)+SUMIF('Week2'!$A:$A,$A155,'Week2'!$G:$G)+SUMIF('Week3'!$A:$A,$A155,'Week3'!$G:$G)+SUMIF('Week4'!$A:$A,$A155,'Week4'!$G:$G)</f>
        <v/>
      </c>
      <c r="H155" s="7">
        <f>SUMIF('Week1'!$A:$A,$A155,'Week1'!$H:$H)+SUMIF('Week2'!$A:$A,$A155,'Week2'!$H:$H)+SUMIF('Week3'!$A:$A,$A155,'Week3'!$H:$H)+SUMIF('Week4'!$A:$A,$A155,'Week4'!$H:$H)</f>
        <v/>
      </c>
    </row>
    <row r="156">
      <c r="A156" s="6" t="inlineStr">
        <is>
          <t>N RATHOD EOLL</t>
        </is>
      </c>
      <c r="B156" s="6" t="inlineStr">
        <is>
          <t>A-EL PKNG SLEEVING</t>
        </is>
      </c>
      <c r="C156" s="7" t="n">
        <v>0</v>
      </c>
      <c r="D156" s="7">
        <f>SUMIF('Week1'!$A:$A,$A156,'Week1'!$D:$D)+SUMIF('Week2'!$A:$A,$A156,'Week2'!$D:$D)+SUMIF('Week3'!$A:$A,$A156,'Week3'!$D:$D)+SUMIF('Week4'!$A:$A,$A156,'Week4'!$D:$D)</f>
        <v/>
      </c>
      <c r="E156" s="7">
        <f>SUMIF('Week1'!$A:$A,$A156,'Week1'!$E:$E)+SUMIF('Week2'!$A:$A,$A156,'Week2'!$E:$E)+SUMIF('Week3'!$A:$A,$A156,'Week3'!$E:$E)+SUMIF('Week4'!$A:$A,$A156,'Week4'!$E:$E)</f>
        <v/>
      </c>
      <c r="F156" s="7">
        <f>SUMIF('Week1'!$A:$A,$A156,'Week1'!$F:$F)+SUMIF('Week2'!$A:$A,$A156,'Week2'!$F:$F)+SUMIF('Week3'!$A:$A,$A156,'Week3'!$F:$F)+SUMIF('Week4'!$A:$A,$A156,'Week4'!$F:$F)</f>
        <v/>
      </c>
      <c r="G156" s="7">
        <f>SUMIF('Week1'!$A:$A,$A156,'Week1'!$G:$G)+SUMIF('Week2'!$A:$A,$A156,'Week2'!$G:$G)+SUMIF('Week3'!$A:$A,$A156,'Week3'!$G:$G)+SUMIF('Week4'!$A:$A,$A156,'Week4'!$G:$G)</f>
        <v/>
      </c>
      <c r="H156" s="7">
        <f>SUMIF('Week1'!$A:$A,$A156,'Week1'!$H:$H)+SUMIF('Week2'!$A:$A,$A156,'Week2'!$H:$H)+SUMIF('Week3'!$A:$A,$A156,'Week3'!$H:$H)+SUMIF('Week4'!$A:$A,$A156,'Week4'!$H:$H)</f>
        <v/>
      </c>
    </row>
    <row r="157">
      <c r="A157" s="6" t="inlineStr">
        <is>
          <t>G ROHITBHAI PATEL EOLL</t>
        </is>
      </c>
      <c r="B157" s="6" t="inlineStr">
        <is>
          <t>A-EL PKNG SLEEVING</t>
        </is>
      </c>
      <c r="C157" s="7" t="n">
        <v>0</v>
      </c>
      <c r="D157" s="7">
        <f>SUMIF('Week1'!$A:$A,$A157,'Week1'!$D:$D)+SUMIF('Week2'!$A:$A,$A157,'Week2'!$D:$D)+SUMIF('Week3'!$A:$A,$A157,'Week3'!$D:$D)+SUMIF('Week4'!$A:$A,$A157,'Week4'!$D:$D)</f>
        <v/>
      </c>
      <c r="E157" s="7">
        <f>SUMIF('Week1'!$A:$A,$A157,'Week1'!$E:$E)+SUMIF('Week2'!$A:$A,$A157,'Week2'!$E:$E)+SUMIF('Week3'!$A:$A,$A157,'Week3'!$E:$E)+SUMIF('Week4'!$A:$A,$A157,'Week4'!$E:$E)</f>
        <v/>
      </c>
      <c r="F157" s="7">
        <f>SUMIF('Week1'!$A:$A,$A157,'Week1'!$F:$F)+SUMIF('Week2'!$A:$A,$A157,'Week2'!$F:$F)+SUMIF('Week3'!$A:$A,$A157,'Week3'!$F:$F)+SUMIF('Week4'!$A:$A,$A157,'Week4'!$F:$F)</f>
        <v/>
      </c>
      <c r="G157" s="7">
        <f>SUMIF('Week1'!$A:$A,$A157,'Week1'!$G:$G)+SUMIF('Week2'!$A:$A,$A157,'Week2'!$G:$G)+SUMIF('Week3'!$A:$A,$A157,'Week3'!$G:$G)+SUMIF('Week4'!$A:$A,$A157,'Week4'!$G:$G)</f>
        <v/>
      </c>
      <c r="H157" s="7">
        <f>SUMIF('Week1'!$A:$A,$A157,'Week1'!$H:$H)+SUMIF('Week2'!$A:$A,$A157,'Week2'!$H:$H)+SUMIF('Week3'!$A:$A,$A157,'Week3'!$H:$H)+SUMIF('Week4'!$A:$A,$A157,'Week4'!$H:$H)</f>
        <v/>
      </c>
    </row>
    <row r="158">
      <c r="A158" s="6" t="inlineStr">
        <is>
          <t>D SIKOTARA EOLL</t>
        </is>
      </c>
      <c r="B158" s="6" t="inlineStr">
        <is>
          <t>A-EL PKNG SLEEVING</t>
        </is>
      </c>
      <c r="C158" s="7" t="n">
        <v>0</v>
      </c>
      <c r="D158" s="7">
        <f>SUMIF('Week1'!$A:$A,$A158,'Week1'!$D:$D)+SUMIF('Week2'!$A:$A,$A158,'Week2'!$D:$D)+SUMIF('Week3'!$A:$A,$A158,'Week3'!$D:$D)+SUMIF('Week4'!$A:$A,$A158,'Week4'!$D:$D)</f>
        <v/>
      </c>
      <c r="E158" s="7">
        <f>SUMIF('Week1'!$A:$A,$A158,'Week1'!$E:$E)+SUMIF('Week2'!$A:$A,$A158,'Week2'!$E:$E)+SUMIF('Week3'!$A:$A,$A158,'Week3'!$E:$E)+SUMIF('Week4'!$A:$A,$A158,'Week4'!$E:$E)</f>
        <v/>
      </c>
      <c r="F158" s="7">
        <f>SUMIF('Week1'!$A:$A,$A158,'Week1'!$F:$F)+SUMIF('Week2'!$A:$A,$A158,'Week2'!$F:$F)+SUMIF('Week3'!$A:$A,$A158,'Week3'!$F:$F)+SUMIF('Week4'!$A:$A,$A158,'Week4'!$F:$F)</f>
        <v/>
      </c>
      <c r="G158" s="7">
        <f>SUMIF('Week1'!$A:$A,$A158,'Week1'!$G:$G)+SUMIF('Week2'!$A:$A,$A158,'Week2'!$G:$G)+SUMIF('Week3'!$A:$A,$A158,'Week3'!$G:$G)+SUMIF('Week4'!$A:$A,$A158,'Week4'!$G:$G)</f>
        <v/>
      </c>
      <c r="H158" s="7">
        <f>SUMIF('Week1'!$A:$A,$A158,'Week1'!$H:$H)+SUMIF('Week2'!$A:$A,$A158,'Week2'!$H:$H)+SUMIF('Week3'!$A:$A,$A158,'Week3'!$H:$H)+SUMIF('Week4'!$A:$A,$A158,'Week4'!$H:$H)</f>
        <v/>
      </c>
    </row>
    <row r="159">
      <c r="A159" s="6" t="inlineStr">
        <is>
          <t>P THAKOR EOLL</t>
        </is>
      </c>
      <c r="B159" s="6" t="inlineStr">
        <is>
          <t>A-EL PKNG SLEEVING</t>
        </is>
      </c>
      <c r="C159" s="7" t="n">
        <v>0</v>
      </c>
      <c r="D159" s="7">
        <f>SUMIF('Week1'!$A:$A,$A159,'Week1'!$D:$D)+SUMIF('Week2'!$A:$A,$A159,'Week2'!$D:$D)+SUMIF('Week3'!$A:$A,$A159,'Week3'!$D:$D)+SUMIF('Week4'!$A:$A,$A159,'Week4'!$D:$D)</f>
        <v/>
      </c>
      <c r="E159" s="7">
        <f>SUMIF('Week1'!$A:$A,$A159,'Week1'!$E:$E)+SUMIF('Week2'!$A:$A,$A159,'Week2'!$E:$E)+SUMIF('Week3'!$A:$A,$A159,'Week3'!$E:$E)+SUMIF('Week4'!$A:$A,$A159,'Week4'!$E:$E)</f>
        <v/>
      </c>
      <c r="F159" s="7">
        <f>SUMIF('Week1'!$A:$A,$A159,'Week1'!$F:$F)+SUMIF('Week2'!$A:$A,$A159,'Week2'!$F:$F)+SUMIF('Week3'!$A:$A,$A159,'Week3'!$F:$F)+SUMIF('Week4'!$A:$A,$A159,'Week4'!$F:$F)</f>
        <v/>
      </c>
      <c r="G159" s="7">
        <f>SUMIF('Week1'!$A:$A,$A159,'Week1'!$G:$G)+SUMIF('Week2'!$A:$A,$A159,'Week2'!$G:$G)+SUMIF('Week3'!$A:$A,$A159,'Week3'!$G:$G)+SUMIF('Week4'!$A:$A,$A159,'Week4'!$G:$G)</f>
        <v/>
      </c>
      <c r="H159" s="7">
        <f>SUMIF('Week1'!$A:$A,$A159,'Week1'!$H:$H)+SUMIF('Week2'!$A:$A,$A159,'Week2'!$H:$H)+SUMIF('Week3'!$A:$A,$A159,'Week3'!$H:$H)+SUMIF('Week4'!$A:$A,$A159,'Week4'!$H:$H)</f>
        <v/>
      </c>
    </row>
    <row r="160">
      <c r="A160" s="6" t="inlineStr">
        <is>
          <t>B ARGI EOLL</t>
        </is>
      </c>
      <c r="B160" s="6" t="inlineStr">
        <is>
          <t>A-EL PROD BELT</t>
        </is>
      </c>
      <c r="C160" s="7" t="n">
        <v>0</v>
      </c>
      <c r="D160" s="7">
        <f>SUMIF('Week1'!$A:$A,$A160,'Week1'!$D:$D)+SUMIF('Week2'!$A:$A,$A160,'Week2'!$D:$D)+SUMIF('Week3'!$A:$A,$A160,'Week3'!$D:$D)+SUMIF('Week4'!$A:$A,$A160,'Week4'!$D:$D)</f>
        <v/>
      </c>
      <c r="E160" s="7">
        <f>SUMIF('Week1'!$A:$A,$A160,'Week1'!$E:$E)+SUMIF('Week2'!$A:$A,$A160,'Week2'!$E:$E)+SUMIF('Week3'!$A:$A,$A160,'Week3'!$E:$E)+SUMIF('Week4'!$A:$A,$A160,'Week4'!$E:$E)</f>
        <v/>
      </c>
      <c r="F160" s="7">
        <f>SUMIF('Week1'!$A:$A,$A160,'Week1'!$F:$F)+SUMIF('Week2'!$A:$A,$A160,'Week2'!$F:$F)+SUMIF('Week3'!$A:$A,$A160,'Week3'!$F:$F)+SUMIF('Week4'!$A:$A,$A160,'Week4'!$F:$F)</f>
        <v/>
      </c>
      <c r="G160" s="7">
        <f>SUMIF('Week1'!$A:$A,$A160,'Week1'!$G:$G)+SUMIF('Week2'!$A:$A,$A160,'Week2'!$G:$G)+SUMIF('Week3'!$A:$A,$A160,'Week3'!$G:$G)+SUMIF('Week4'!$A:$A,$A160,'Week4'!$G:$G)</f>
        <v/>
      </c>
      <c r="H160" s="7">
        <f>SUMIF('Week1'!$A:$A,$A160,'Week1'!$H:$H)+SUMIF('Week2'!$A:$A,$A160,'Week2'!$H:$H)+SUMIF('Week3'!$A:$A,$A160,'Week3'!$H:$H)+SUMIF('Week4'!$A:$A,$A160,'Week4'!$H:$H)</f>
        <v/>
      </c>
    </row>
    <row r="161">
      <c r="A161" s="6" t="inlineStr">
        <is>
          <t>K BABU EOLL</t>
        </is>
      </c>
      <c r="B161" s="6" t="inlineStr">
        <is>
          <t>A-EL PROD PREPARATION</t>
        </is>
      </c>
      <c r="C161" s="7" t="n">
        <v>0</v>
      </c>
      <c r="D161" s="7">
        <f>SUMIF('Week1'!$A:$A,$A161,'Week1'!$D:$D)+SUMIF('Week2'!$A:$A,$A161,'Week2'!$D:$D)+SUMIF('Week3'!$A:$A,$A161,'Week3'!$D:$D)+SUMIF('Week4'!$A:$A,$A161,'Week4'!$D:$D)</f>
        <v/>
      </c>
      <c r="E161" s="7">
        <f>SUMIF('Week1'!$A:$A,$A161,'Week1'!$E:$E)+SUMIF('Week2'!$A:$A,$A161,'Week2'!$E:$E)+SUMIF('Week3'!$A:$A,$A161,'Week3'!$E:$E)+SUMIF('Week4'!$A:$A,$A161,'Week4'!$E:$E)</f>
        <v/>
      </c>
      <c r="F161" s="7">
        <f>SUMIF('Week1'!$A:$A,$A161,'Week1'!$F:$F)+SUMIF('Week2'!$A:$A,$A161,'Week2'!$F:$F)+SUMIF('Week3'!$A:$A,$A161,'Week3'!$F:$F)+SUMIF('Week4'!$A:$A,$A161,'Week4'!$F:$F)</f>
        <v/>
      </c>
      <c r="G161" s="7">
        <f>SUMIF('Week1'!$A:$A,$A161,'Week1'!$G:$G)+SUMIF('Week2'!$A:$A,$A161,'Week2'!$G:$G)+SUMIF('Week3'!$A:$A,$A161,'Week3'!$G:$G)+SUMIF('Week4'!$A:$A,$A161,'Week4'!$G:$G)</f>
        <v/>
      </c>
      <c r="H161" s="7">
        <f>SUMIF('Week1'!$A:$A,$A161,'Week1'!$H:$H)+SUMIF('Week2'!$A:$A,$A161,'Week2'!$H:$H)+SUMIF('Week3'!$A:$A,$A161,'Week3'!$H:$H)+SUMIF('Week4'!$A:$A,$A161,'Week4'!$H:$H)</f>
        <v/>
      </c>
    </row>
    <row r="162">
      <c r="A162" s="6" t="inlineStr">
        <is>
          <t>H BHIKHA EOLL</t>
        </is>
      </c>
      <c r="B162" s="6" t="inlineStr">
        <is>
          <t>A-EL PROD BELT</t>
        </is>
      </c>
      <c r="C162" s="7" t="n">
        <v>0</v>
      </c>
      <c r="D162" s="7">
        <f>SUMIF('Week1'!$A:$A,$A162,'Week1'!$D:$D)+SUMIF('Week2'!$A:$A,$A162,'Week2'!$D:$D)+SUMIF('Week3'!$A:$A,$A162,'Week3'!$D:$D)+SUMIF('Week4'!$A:$A,$A162,'Week4'!$D:$D)</f>
        <v/>
      </c>
      <c r="E162" s="7">
        <f>SUMIF('Week1'!$A:$A,$A162,'Week1'!$E:$E)+SUMIF('Week2'!$A:$A,$A162,'Week2'!$E:$E)+SUMIF('Week3'!$A:$A,$A162,'Week3'!$E:$E)+SUMIF('Week4'!$A:$A,$A162,'Week4'!$E:$E)</f>
        <v/>
      </c>
      <c r="F162" s="7">
        <f>SUMIF('Week1'!$A:$A,$A162,'Week1'!$F:$F)+SUMIF('Week2'!$A:$A,$A162,'Week2'!$F:$F)+SUMIF('Week3'!$A:$A,$A162,'Week3'!$F:$F)+SUMIF('Week4'!$A:$A,$A162,'Week4'!$F:$F)</f>
        <v/>
      </c>
      <c r="G162" s="7">
        <f>SUMIF('Week1'!$A:$A,$A162,'Week1'!$G:$G)+SUMIF('Week2'!$A:$A,$A162,'Week2'!$G:$G)+SUMIF('Week3'!$A:$A,$A162,'Week3'!$G:$G)+SUMIF('Week4'!$A:$A,$A162,'Week4'!$G:$G)</f>
        <v/>
      </c>
      <c r="H162" s="7">
        <f>SUMIF('Week1'!$A:$A,$A162,'Week1'!$H:$H)+SUMIF('Week2'!$A:$A,$A162,'Week2'!$H:$H)+SUMIF('Week3'!$A:$A,$A162,'Week3'!$H:$H)+SUMIF('Week4'!$A:$A,$A162,'Week4'!$H:$H)</f>
        <v/>
      </c>
    </row>
    <row r="163">
      <c r="A163" s="6" t="inlineStr">
        <is>
          <t>A CANGI EOLL</t>
        </is>
      </c>
      <c r="B163" s="6" t="inlineStr">
        <is>
          <t>A-EL PROD BELT</t>
        </is>
      </c>
      <c r="C163" s="7" t="n">
        <v>0</v>
      </c>
      <c r="D163" s="7">
        <f>SUMIF('Week1'!$A:$A,$A163,'Week1'!$D:$D)+SUMIF('Week2'!$A:$A,$A163,'Week2'!$D:$D)+SUMIF('Week3'!$A:$A,$A163,'Week3'!$D:$D)+SUMIF('Week4'!$A:$A,$A163,'Week4'!$D:$D)</f>
        <v/>
      </c>
      <c r="E163" s="7">
        <f>SUMIF('Week1'!$A:$A,$A163,'Week1'!$E:$E)+SUMIF('Week2'!$A:$A,$A163,'Week2'!$E:$E)+SUMIF('Week3'!$A:$A,$A163,'Week3'!$E:$E)+SUMIF('Week4'!$A:$A,$A163,'Week4'!$E:$E)</f>
        <v/>
      </c>
      <c r="F163" s="7">
        <f>SUMIF('Week1'!$A:$A,$A163,'Week1'!$F:$F)+SUMIF('Week2'!$A:$A,$A163,'Week2'!$F:$F)+SUMIF('Week3'!$A:$A,$A163,'Week3'!$F:$F)+SUMIF('Week4'!$A:$A,$A163,'Week4'!$F:$F)</f>
        <v/>
      </c>
      <c r="G163" s="7">
        <f>SUMIF('Week1'!$A:$A,$A163,'Week1'!$G:$G)+SUMIF('Week2'!$A:$A,$A163,'Week2'!$G:$G)+SUMIF('Week3'!$A:$A,$A163,'Week3'!$G:$G)+SUMIF('Week4'!$A:$A,$A163,'Week4'!$G:$G)</f>
        <v/>
      </c>
      <c r="H163" s="7">
        <f>SUMIF('Week1'!$A:$A,$A163,'Week1'!$H:$H)+SUMIF('Week2'!$A:$A,$A163,'Week2'!$H:$H)+SUMIF('Week3'!$A:$A,$A163,'Week3'!$H:$H)+SUMIF('Week4'!$A:$A,$A163,'Week4'!$H:$H)</f>
        <v/>
      </c>
    </row>
    <row r="164">
      <c r="A164" s="6" t="inlineStr">
        <is>
          <t>H CHANDRAKANT EOLL</t>
        </is>
      </c>
      <c r="B164" s="6" t="inlineStr">
        <is>
          <t>A-EL PROD BELT</t>
        </is>
      </c>
      <c r="C164" s="7" t="n">
        <v>0</v>
      </c>
      <c r="D164" s="7">
        <f>SUMIF('Week1'!$A:$A,$A164,'Week1'!$D:$D)+SUMIF('Week2'!$A:$A,$A164,'Week2'!$D:$D)+SUMIF('Week3'!$A:$A,$A164,'Week3'!$D:$D)+SUMIF('Week4'!$A:$A,$A164,'Week4'!$D:$D)</f>
        <v/>
      </c>
      <c r="E164" s="7">
        <f>SUMIF('Week1'!$A:$A,$A164,'Week1'!$E:$E)+SUMIF('Week2'!$A:$A,$A164,'Week2'!$E:$E)+SUMIF('Week3'!$A:$A,$A164,'Week3'!$E:$E)+SUMIF('Week4'!$A:$A,$A164,'Week4'!$E:$E)</f>
        <v/>
      </c>
      <c r="F164" s="7">
        <f>SUMIF('Week1'!$A:$A,$A164,'Week1'!$F:$F)+SUMIF('Week2'!$A:$A,$A164,'Week2'!$F:$F)+SUMIF('Week3'!$A:$A,$A164,'Week3'!$F:$F)+SUMIF('Week4'!$A:$A,$A164,'Week4'!$F:$F)</f>
        <v/>
      </c>
      <c r="G164" s="7">
        <f>SUMIF('Week1'!$A:$A,$A164,'Week1'!$G:$G)+SUMIF('Week2'!$A:$A,$A164,'Week2'!$G:$G)+SUMIF('Week3'!$A:$A,$A164,'Week3'!$G:$G)+SUMIF('Week4'!$A:$A,$A164,'Week4'!$G:$G)</f>
        <v/>
      </c>
      <c r="H164" s="7">
        <f>SUMIF('Week1'!$A:$A,$A164,'Week1'!$H:$H)+SUMIF('Week2'!$A:$A,$A164,'Week2'!$H:$H)+SUMIF('Week3'!$A:$A,$A164,'Week3'!$H:$H)+SUMIF('Week4'!$A:$A,$A164,'Week4'!$H:$H)</f>
        <v/>
      </c>
    </row>
    <row r="165">
      <c r="A165" s="6" t="inlineStr">
        <is>
          <t>H CHUNILAL EOLL</t>
        </is>
      </c>
      <c r="B165" s="6" t="inlineStr">
        <is>
          <t>A-EL PROD BELT</t>
        </is>
      </c>
      <c r="C165" s="7" t="n">
        <v>0</v>
      </c>
      <c r="D165" s="7">
        <f>SUMIF('Week1'!$A:$A,$A165,'Week1'!$D:$D)+SUMIF('Week2'!$A:$A,$A165,'Week2'!$D:$D)+SUMIF('Week3'!$A:$A,$A165,'Week3'!$D:$D)+SUMIF('Week4'!$A:$A,$A165,'Week4'!$D:$D)</f>
        <v/>
      </c>
      <c r="E165" s="7">
        <f>SUMIF('Week1'!$A:$A,$A165,'Week1'!$E:$E)+SUMIF('Week2'!$A:$A,$A165,'Week2'!$E:$E)+SUMIF('Week3'!$A:$A,$A165,'Week3'!$E:$E)+SUMIF('Week4'!$A:$A,$A165,'Week4'!$E:$E)</f>
        <v/>
      </c>
      <c r="F165" s="7">
        <f>SUMIF('Week1'!$A:$A,$A165,'Week1'!$F:$F)+SUMIF('Week2'!$A:$A,$A165,'Week2'!$F:$F)+SUMIF('Week3'!$A:$A,$A165,'Week3'!$F:$F)+SUMIF('Week4'!$A:$A,$A165,'Week4'!$F:$F)</f>
        <v/>
      </c>
      <c r="G165" s="7">
        <f>SUMIF('Week1'!$A:$A,$A165,'Week1'!$G:$G)+SUMIF('Week2'!$A:$A,$A165,'Week2'!$G:$G)+SUMIF('Week3'!$A:$A,$A165,'Week3'!$G:$G)+SUMIF('Week4'!$A:$A,$A165,'Week4'!$G:$G)</f>
        <v/>
      </c>
      <c r="H165" s="7">
        <f>SUMIF('Week1'!$A:$A,$A165,'Week1'!$H:$H)+SUMIF('Week2'!$A:$A,$A165,'Week2'!$H:$H)+SUMIF('Week3'!$A:$A,$A165,'Week3'!$H:$H)+SUMIF('Week4'!$A:$A,$A165,'Week4'!$H:$H)</f>
        <v/>
      </c>
    </row>
    <row r="166">
      <c r="A166" s="6" t="inlineStr">
        <is>
          <t>A DHIRU NAYEE EOLL</t>
        </is>
      </c>
      <c r="B166" s="6" t="inlineStr">
        <is>
          <t>A-EL PROD BELT</t>
        </is>
      </c>
      <c r="C166" s="7" t="n">
        <v>0</v>
      </c>
      <c r="D166" s="7">
        <f>SUMIF('Week1'!$A:$A,$A166,'Week1'!$D:$D)+SUMIF('Week2'!$A:$A,$A166,'Week2'!$D:$D)+SUMIF('Week3'!$A:$A,$A166,'Week3'!$D:$D)+SUMIF('Week4'!$A:$A,$A166,'Week4'!$D:$D)</f>
        <v/>
      </c>
      <c r="E166" s="7">
        <f>SUMIF('Week1'!$A:$A,$A166,'Week1'!$E:$E)+SUMIF('Week2'!$A:$A,$A166,'Week2'!$E:$E)+SUMIF('Week3'!$A:$A,$A166,'Week3'!$E:$E)+SUMIF('Week4'!$A:$A,$A166,'Week4'!$E:$E)</f>
        <v/>
      </c>
      <c r="F166" s="7">
        <f>SUMIF('Week1'!$A:$A,$A166,'Week1'!$F:$F)+SUMIF('Week2'!$A:$A,$A166,'Week2'!$F:$F)+SUMIF('Week3'!$A:$A,$A166,'Week3'!$F:$F)+SUMIF('Week4'!$A:$A,$A166,'Week4'!$F:$F)</f>
        <v/>
      </c>
      <c r="G166" s="7">
        <f>SUMIF('Week1'!$A:$A,$A166,'Week1'!$G:$G)+SUMIF('Week2'!$A:$A,$A166,'Week2'!$G:$G)+SUMIF('Week3'!$A:$A,$A166,'Week3'!$G:$G)+SUMIF('Week4'!$A:$A,$A166,'Week4'!$G:$G)</f>
        <v/>
      </c>
      <c r="H166" s="7">
        <f>SUMIF('Week1'!$A:$A,$A166,'Week1'!$H:$H)+SUMIF('Week2'!$A:$A,$A166,'Week2'!$H:$H)+SUMIF('Week3'!$A:$A,$A166,'Week3'!$H:$H)+SUMIF('Week4'!$A:$A,$A166,'Week4'!$H:$H)</f>
        <v/>
      </c>
    </row>
    <row r="167">
      <c r="A167" s="6" t="inlineStr">
        <is>
          <t>A DINESH EOLL</t>
        </is>
      </c>
      <c r="B167" s="6" t="inlineStr">
        <is>
          <t>A-EL PROD BELT</t>
        </is>
      </c>
      <c r="C167" s="7" t="n">
        <v>0</v>
      </c>
      <c r="D167" s="7">
        <f>SUMIF('Week1'!$A:$A,$A167,'Week1'!$D:$D)+SUMIF('Week2'!$A:$A,$A167,'Week2'!$D:$D)+SUMIF('Week3'!$A:$A,$A167,'Week3'!$D:$D)+SUMIF('Week4'!$A:$A,$A167,'Week4'!$D:$D)</f>
        <v/>
      </c>
      <c r="E167" s="7">
        <f>SUMIF('Week1'!$A:$A,$A167,'Week1'!$E:$E)+SUMIF('Week2'!$A:$A,$A167,'Week2'!$E:$E)+SUMIF('Week3'!$A:$A,$A167,'Week3'!$E:$E)+SUMIF('Week4'!$A:$A,$A167,'Week4'!$E:$E)</f>
        <v/>
      </c>
      <c r="F167" s="7">
        <f>SUMIF('Week1'!$A:$A,$A167,'Week1'!$F:$F)+SUMIF('Week2'!$A:$A,$A167,'Week2'!$F:$F)+SUMIF('Week3'!$A:$A,$A167,'Week3'!$F:$F)+SUMIF('Week4'!$A:$A,$A167,'Week4'!$F:$F)</f>
        <v/>
      </c>
      <c r="G167" s="7">
        <f>SUMIF('Week1'!$A:$A,$A167,'Week1'!$G:$G)+SUMIF('Week2'!$A:$A,$A167,'Week2'!$G:$G)+SUMIF('Week3'!$A:$A,$A167,'Week3'!$G:$G)+SUMIF('Week4'!$A:$A,$A167,'Week4'!$G:$G)</f>
        <v/>
      </c>
      <c r="H167" s="7">
        <f>SUMIF('Week1'!$A:$A,$A167,'Week1'!$H:$H)+SUMIF('Week2'!$A:$A,$A167,'Week2'!$H:$H)+SUMIF('Week3'!$A:$A,$A167,'Week3'!$H:$H)+SUMIF('Week4'!$A:$A,$A167,'Week4'!$H:$H)</f>
        <v/>
      </c>
    </row>
    <row r="168">
      <c r="A168" s="6" t="inlineStr">
        <is>
          <t>J JIVA EOLL</t>
        </is>
      </c>
      <c r="B168" s="6" t="inlineStr">
        <is>
          <t>A-EL PROD BELT</t>
        </is>
      </c>
      <c r="C168" s="7" t="n">
        <v>0</v>
      </c>
      <c r="D168" s="7">
        <f>SUMIF('Week1'!$A:$A,$A168,'Week1'!$D:$D)+SUMIF('Week2'!$A:$A,$A168,'Week2'!$D:$D)+SUMIF('Week3'!$A:$A,$A168,'Week3'!$D:$D)+SUMIF('Week4'!$A:$A,$A168,'Week4'!$D:$D)</f>
        <v/>
      </c>
      <c r="E168" s="7">
        <f>SUMIF('Week1'!$A:$A,$A168,'Week1'!$E:$E)+SUMIF('Week2'!$A:$A,$A168,'Week2'!$E:$E)+SUMIF('Week3'!$A:$A,$A168,'Week3'!$E:$E)+SUMIF('Week4'!$A:$A,$A168,'Week4'!$E:$E)</f>
        <v/>
      </c>
      <c r="F168" s="7">
        <f>SUMIF('Week1'!$A:$A,$A168,'Week1'!$F:$F)+SUMIF('Week2'!$A:$A,$A168,'Week2'!$F:$F)+SUMIF('Week3'!$A:$A,$A168,'Week3'!$F:$F)+SUMIF('Week4'!$A:$A,$A168,'Week4'!$F:$F)</f>
        <v/>
      </c>
      <c r="G168" s="7">
        <f>SUMIF('Week1'!$A:$A,$A168,'Week1'!$G:$G)+SUMIF('Week2'!$A:$A,$A168,'Week2'!$G:$G)+SUMIF('Week3'!$A:$A,$A168,'Week3'!$G:$G)+SUMIF('Week4'!$A:$A,$A168,'Week4'!$G:$G)</f>
        <v/>
      </c>
      <c r="H168" s="7">
        <f>SUMIF('Week1'!$A:$A,$A168,'Week1'!$H:$H)+SUMIF('Week2'!$A:$A,$A168,'Week2'!$H:$H)+SUMIF('Week3'!$A:$A,$A168,'Week3'!$H:$H)+SUMIF('Week4'!$A:$A,$A168,'Week4'!$H:$H)</f>
        <v/>
      </c>
    </row>
    <row r="169">
      <c r="A169" s="6" t="inlineStr">
        <is>
          <t>J KANJI EOLL</t>
        </is>
      </c>
      <c r="B169" s="6" t="inlineStr">
        <is>
          <t>A-EL PROD BELT</t>
        </is>
      </c>
      <c r="C169" s="7" t="n">
        <v>0</v>
      </c>
      <c r="D169" s="7">
        <f>SUMIF('Week1'!$A:$A,$A169,'Week1'!$D:$D)+SUMIF('Week2'!$A:$A,$A169,'Week2'!$D:$D)+SUMIF('Week3'!$A:$A,$A169,'Week3'!$D:$D)+SUMIF('Week4'!$A:$A,$A169,'Week4'!$D:$D)</f>
        <v/>
      </c>
      <c r="E169" s="7">
        <f>SUMIF('Week1'!$A:$A,$A169,'Week1'!$E:$E)+SUMIF('Week2'!$A:$A,$A169,'Week2'!$E:$E)+SUMIF('Week3'!$A:$A,$A169,'Week3'!$E:$E)+SUMIF('Week4'!$A:$A,$A169,'Week4'!$E:$E)</f>
        <v/>
      </c>
      <c r="F169" s="7">
        <f>SUMIF('Week1'!$A:$A,$A169,'Week1'!$F:$F)+SUMIF('Week2'!$A:$A,$A169,'Week2'!$F:$F)+SUMIF('Week3'!$A:$A,$A169,'Week3'!$F:$F)+SUMIF('Week4'!$A:$A,$A169,'Week4'!$F:$F)</f>
        <v/>
      </c>
      <c r="G169" s="7">
        <f>SUMIF('Week1'!$A:$A,$A169,'Week1'!$G:$G)+SUMIF('Week2'!$A:$A,$A169,'Week2'!$G:$G)+SUMIF('Week3'!$A:$A,$A169,'Week3'!$G:$G)+SUMIF('Week4'!$A:$A,$A169,'Week4'!$G:$G)</f>
        <v/>
      </c>
      <c r="H169" s="7">
        <f>SUMIF('Week1'!$A:$A,$A169,'Week1'!$H:$H)+SUMIF('Week2'!$A:$A,$A169,'Week2'!$H:$H)+SUMIF('Week3'!$A:$A,$A169,'Week3'!$H:$H)+SUMIF('Week4'!$A:$A,$A169,'Week4'!$H:$H)</f>
        <v/>
      </c>
    </row>
    <row r="170">
      <c r="A170" s="6" t="inlineStr">
        <is>
          <t>P KHUNT EOLL</t>
        </is>
      </c>
      <c r="B170" s="6" t="inlineStr">
        <is>
          <t>A-EL PROD BELT</t>
        </is>
      </c>
      <c r="C170" s="7" t="n">
        <v>0</v>
      </c>
      <c r="D170" s="7">
        <f>SUMIF('Week1'!$A:$A,$A170,'Week1'!$D:$D)+SUMIF('Week2'!$A:$A,$A170,'Week2'!$D:$D)+SUMIF('Week3'!$A:$A,$A170,'Week3'!$D:$D)+SUMIF('Week4'!$A:$A,$A170,'Week4'!$D:$D)</f>
        <v/>
      </c>
      <c r="E170" s="7">
        <f>SUMIF('Week1'!$A:$A,$A170,'Week1'!$E:$E)+SUMIF('Week2'!$A:$A,$A170,'Week2'!$E:$E)+SUMIF('Week3'!$A:$A,$A170,'Week3'!$E:$E)+SUMIF('Week4'!$A:$A,$A170,'Week4'!$E:$E)</f>
        <v/>
      </c>
      <c r="F170" s="7">
        <f>SUMIF('Week1'!$A:$A,$A170,'Week1'!$F:$F)+SUMIF('Week2'!$A:$A,$A170,'Week2'!$F:$F)+SUMIF('Week3'!$A:$A,$A170,'Week3'!$F:$F)+SUMIF('Week4'!$A:$A,$A170,'Week4'!$F:$F)</f>
        <v/>
      </c>
      <c r="G170" s="7">
        <f>SUMIF('Week1'!$A:$A,$A170,'Week1'!$G:$G)+SUMIF('Week2'!$A:$A,$A170,'Week2'!$G:$G)+SUMIF('Week3'!$A:$A,$A170,'Week3'!$G:$G)+SUMIF('Week4'!$A:$A,$A170,'Week4'!$G:$G)</f>
        <v/>
      </c>
      <c r="H170" s="7">
        <f>SUMIF('Week1'!$A:$A,$A170,'Week1'!$H:$H)+SUMIF('Week2'!$A:$A,$A170,'Week2'!$H:$H)+SUMIF('Week3'!$A:$A,$A170,'Week3'!$H:$H)+SUMIF('Week4'!$A:$A,$A170,'Week4'!$H:$H)</f>
        <v/>
      </c>
    </row>
    <row r="171">
      <c r="A171" s="6" t="inlineStr">
        <is>
          <t>T LALJI EOLL</t>
        </is>
      </c>
      <c r="B171" s="6" t="inlineStr">
        <is>
          <t>A-EL PROD BELT</t>
        </is>
      </c>
      <c r="C171" s="7" t="n">
        <v>0</v>
      </c>
      <c r="D171" s="7">
        <f>SUMIF('Week1'!$A:$A,$A171,'Week1'!$D:$D)+SUMIF('Week2'!$A:$A,$A171,'Week2'!$D:$D)+SUMIF('Week3'!$A:$A,$A171,'Week3'!$D:$D)+SUMIF('Week4'!$A:$A,$A171,'Week4'!$D:$D)</f>
        <v/>
      </c>
      <c r="E171" s="7">
        <f>SUMIF('Week1'!$A:$A,$A171,'Week1'!$E:$E)+SUMIF('Week2'!$A:$A,$A171,'Week2'!$E:$E)+SUMIF('Week3'!$A:$A,$A171,'Week3'!$E:$E)+SUMIF('Week4'!$A:$A,$A171,'Week4'!$E:$E)</f>
        <v/>
      </c>
      <c r="F171" s="7">
        <f>SUMIF('Week1'!$A:$A,$A171,'Week1'!$F:$F)+SUMIF('Week2'!$A:$A,$A171,'Week2'!$F:$F)+SUMIF('Week3'!$A:$A,$A171,'Week3'!$F:$F)+SUMIF('Week4'!$A:$A,$A171,'Week4'!$F:$F)</f>
        <v/>
      </c>
      <c r="G171" s="7">
        <f>SUMIF('Week1'!$A:$A,$A171,'Week1'!$G:$G)+SUMIF('Week2'!$A:$A,$A171,'Week2'!$G:$G)+SUMIF('Week3'!$A:$A,$A171,'Week3'!$G:$G)+SUMIF('Week4'!$A:$A,$A171,'Week4'!$G:$G)</f>
        <v/>
      </c>
      <c r="H171" s="7">
        <f>SUMIF('Week1'!$A:$A,$A171,'Week1'!$H:$H)+SUMIF('Week2'!$A:$A,$A171,'Week2'!$H:$H)+SUMIF('Week3'!$A:$A,$A171,'Week3'!$H:$H)+SUMIF('Week4'!$A:$A,$A171,'Week4'!$H:$H)</f>
        <v/>
      </c>
    </row>
    <row r="172">
      <c r="A172" s="6" t="inlineStr">
        <is>
          <t>C MONIZ EOLL</t>
        </is>
      </c>
      <c r="B172" s="6" t="inlineStr">
        <is>
          <t>A-EL PROD BELT</t>
        </is>
      </c>
      <c r="C172" s="7" t="n">
        <v>0</v>
      </c>
      <c r="D172" s="7">
        <f>SUMIF('Week1'!$A:$A,$A172,'Week1'!$D:$D)+SUMIF('Week2'!$A:$A,$A172,'Week2'!$D:$D)+SUMIF('Week3'!$A:$A,$A172,'Week3'!$D:$D)+SUMIF('Week4'!$A:$A,$A172,'Week4'!$D:$D)</f>
        <v/>
      </c>
      <c r="E172" s="7">
        <f>SUMIF('Week1'!$A:$A,$A172,'Week1'!$E:$E)+SUMIF('Week2'!$A:$A,$A172,'Week2'!$E:$E)+SUMIF('Week3'!$A:$A,$A172,'Week3'!$E:$E)+SUMIF('Week4'!$A:$A,$A172,'Week4'!$E:$E)</f>
        <v/>
      </c>
      <c r="F172" s="7">
        <f>SUMIF('Week1'!$A:$A,$A172,'Week1'!$F:$F)+SUMIF('Week2'!$A:$A,$A172,'Week2'!$F:$F)+SUMIF('Week3'!$A:$A,$A172,'Week3'!$F:$F)+SUMIF('Week4'!$A:$A,$A172,'Week4'!$F:$F)</f>
        <v/>
      </c>
      <c r="G172" s="7">
        <f>SUMIF('Week1'!$A:$A,$A172,'Week1'!$G:$G)+SUMIF('Week2'!$A:$A,$A172,'Week2'!$G:$G)+SUMIF('Week3'!$A:$A,$A172,'Week3'!$G:$G)+SUMIF('Week4'!$A:$A,$A172,'Week4'!$G:$G)</f>
        <v/>
      </c>
      <c r="H172" s="7">
        <f>SUMIF('Week1'!$A:$A,$A172,'Week1'!$H:$H)+SUMIF('Week2'!$A:$A,$A172,'Week2'!$H:$H)+SUMIF('Week3'!$A:$A,$A172,'Week3'!$H:$H)+SUMIF('Week4'!$A:$A,$A172,'Week4'!$H:$H)</f>
        <v/>
      </c>
    </row>
    <row r="173">
      <c r="A173" s="6" t="inlineStr">
        <is>
          <t>B NANJI BAMANIYA EOLL</t>
        </is>
      </c>
      <c r="B173" s="6" t="inlineStr">
        <is>
          <t>A-EL PROD BELT</t>
        </is>
      </c>
      <c r="C173" s="7" t="n">
        <v>0</v>
      </c>
      <c r="D173" s="7">
        <f>SUMIF('Week1'!$A:$A,$A173,'Week1'!$D:$D)+SUMIF('Week2'!$A:$A,$A173,'Week2'!$D:$D)+SUMIF('Week3'!$A:$A,$A173,'Week3'!$D:$D)+SUMIF('Week4'!$A:$A,$A173,'Week4'!$D:$D)</f>
        <v/>
      </c>
      <c r="E173" s="7">
        <f>SUMIF('Week1'!$A:$A,$A173,'Week1'!$E:$E)+SUMIF('Week2'!$A:$A,$A173,'Week2'!$E:$E)+SUMIF('Week3'!$A:$A,$A173,'Week3'!$E:$E)+SUMIF('Week4'!$A:$A,$A173,'Week4'!$E:$E)</f>
        <v/>
      </c>
      <c r="F173" s="7">
        <f>SUMIF('Week1'!$A:$A,$A173,'Week1'!$F:$F)+SUMIF('Week2'!$A:$A,$A173,'Week2'!$F:$F)+SUMIF('Week3'!$A:$A,$A173,'Week3'!$F:$F)+SUMIF('Week4'!$A:$A,$A173,'Week4'!$F:$F)</f>
        <v/>
      </c>
      <c r="G173" s="7">
        <f>SUMIF('Week1'!$A:$A,$A173,'Week1'!$G:$G)+SUMIF('Week2'!$A:$A,$A173,'Week2'!$G:$G)+SUMIF('Week3'!$A:$A,$A173,'Week3'!$G:$G)+SUMIF('Week4'!$A:$A,$A173,'Week4'!$G:$G)</f>
        <v/>
      </c>
      <c r="H173" s="7">
        <f>SUMIF('Week1'!$A:$A,$A173,'Week1'!$H:$H)+SUMIF('Week2'!$A:$A,$A173,'Week2'!$H:$H)+SUMIF('Week3'!$A:$A,$A173,'Week3'!$H:$H)+SUMIF('Week4'!$A:$A,$A173,'Week4'!$H:$H)</f>
        <v/>
      </c>
    </row>
    <row r="174">
      <c r="A174" s="6" t="inlineStr">
        <is>
          <t>D NANJI CHAVDA EOLL</t>
        </is>
      </c>
      <c r="B174" s="6" t="inlineStr">
        <is>
          <t>A-EL PROD BELT</t>
        </is>
      </c>
      <c r="C174" s="7" t="n">
        <v>0</v>
      </c>
      <c r="D174" s="7">
        <f>SUMIF('Week1'!$A:$A,$A174,'Week1'!$D:$D)+SUMIF('Week2'!$A:$A,$A174,'Week2'!$D:$D)+SUMIF('Week3'!$A:$A,$A174,'Week3'!$D:$D)+SUMIF('Week4'!$A:$A,$A174,'Week4'!$D:$D)</f>
        <v/>
      </c>
      <c r="E174" s="7">
        <f>SUMIF('Week1'!$A:$A,$A174,'Week1'!$E:$E)+SUMIF('Week2'!$A:$A,$A174,'Week2'!$E:$E)+SUMIF('Week3'!$A:$A,$A174,'Week3'!$E:$E)+SUMIF('Week4'!$A:$A,$A174,'Week4'!$E:$E)</f>
        <v/>
      </c>
      <c r="F174" s="7">
        <f>SUMIF('Week1'!$A:$A,$A174,'Week1'!$F:$F)+SUMIF('Week2'!$A:$A,$A174,'Week2'!$F:$F)+SUMIF('Week3'!$A:$A,$A174,'Week3'!$F:$F)+SUMIF('Week4'!$A:$A,$A174,'Week4'!$F:$F)</f>
        <v/>
      </c>
      <c r="G174" s="7">
        <f>SUMIF('Week1'!$A:$A,$A174,'Week1'!$G:$G)+SUMIF('Week2'!$A:$A,$A174,'Week2'!$G:$G)+SUMIF('Week3'!$A:$A,$A174,'Week3'!$G:$G)+SUMIF('Week4'!$A:$A,$A174,'Week4'!$G:$G)</f>
        <v/>
      </c>
      <c r="H174" s="7">
        <f>SUMIF('Week1'!$A:$A,$A174,'Week1'!$H:$H)+SUMIF('Week2'!$A:$A,$A174,'Week2'!$H:$H)+SUMIF('Week3'!$A:$A,$A174,'Week3'!$H:$H)+SUMIF('Week4'!$A:$A,$A174,'Week4'!$H:$H)</f>
        <v/>
      </c>
    </row>
    <row r="175">
      <c r="A175" s="6" t="inlineStr">
        <is>
          <t>D PRAVIND EOLL</t>
        </is>
      </c>
      <c r="B175" s="6" t="inlineStr">
        <is>
          <t>A-EL PROD BELT</t>
        </is>
      </c>
      <c r="C175" s="7" t="n">
        <v>0</v>
      </c>
      <c r="D175" s="7">
        <f>SUMIF('Week1'!$A:$A,$A175,'Week1'!$D:$D)+SUMIF('Week2'!$A:$A,$A175,'Week2'!$D:$D)+SUMIF('Week3'!$A:$A,$A175,'Week3'!$D:$D)+SUMIF('Week4'!$A:$A,$A175,'Week4'!$D:$D)</f>
        <v/>
      </c>
      <c r="E175" s="7">
        <f>SUMIF('Week1'!$A:$A,$A175,'Week1'!$E:$E)+SUMIF('Week2'!$A:$A,$A175,'Week2'!$E:$E)+SUMIF('Week3'!$A:$A,$A175,'Week3'!$E:$E)+SUMIF('Week4'!$A:$A,$A175,'Week4'!$E:$E)</f>
        <v/>
      </c>
      <c r="F175" s="7">
        <f>SUMIF('Week1'!$A:$A,$A175,'Week1'!$F:$F)+SUMIF('Week2'!$A:$A,$A175,'Week2'!$F:$F)+SUMIF('Week3'!$A:$A,$A175,'Week3'!$F:$F)+SUMIF('Week4'!$A:$A,$A175,'Week4'!$F:$F)</f>
        <v/>
      </c>
      <c r="G175" s="7">
        <f>SUMIF('Week1'!$A:$A,$A175,'Week1'!$G:$G)+SUMIF('Week2'!$A:$A,$A175,'Week2'!$G:$G)+SUMIF('Week3'!$A:$A,$A175,'Week3'!$G:$G)+SUMIF('Week4'!$A:$A,$A175,'Week4'!$G:$G)</f>
        <v/>
      </c>
      <c r="H175" s="7">
        <f>SUMIF('Week1'!$A:$A,$A175,'Week1'!$H:$H)+SUMIF('Week2'!$A:$A,$A175,'Week2'!$H:$H)+SUMIF('Week3'!$A:$A,$A175,'Week3'!$H:$H)+SUMIF('Week4'!$A:$A,$A175,'Week4'!$H:$H)</f>
        <v/>
      </c>
    </row>
    <row r="176">
      <c r="A176" s="6" t="inlineStr">
        <is>
          <t>K RUPESHKUMAR GADHIYA EOLL</t>
        </is>
      </c>
      <c r="B176" s="6" t="inlineStr">
        <is>
          <t>A-EL PROD BELT</t>
        </is>
      </c>
      <c r="C176" s="7" t="n">
        <v>0</v>
      </c>
      <c r="D176" s="7">
        <f>SUMIF('Week1'!$A:$A,$A176,'Week1'!$D:$D)+SUMIF('Week2'!$A:$A,$A176,'Week2'!$D:$D)+SUMIF('Week3'!$A:$A,$A176,'Week3'!$D:$D)+SUMIF('Week4'!$A:$A,$A176,'Week4'!$D:$D)</f>
        <v/>
      </c>
      <c r="E176" s="7">
        <f>SUMIF('Week1'!$A:$A,$A176,'Week1'!$E:$E)+SUMIF('Week2'!$A:$A,$A176,'Week2'!$E:$E)+SUMIF('Week3'!$A:$A,$A176,'Week3'!$E:$E)+SUMIF('Week4'!$A:$A,$A176,'Week4'!$E:$E)</f>
        <v/>
      </c>
      <c r="F176" s="7">
        <f>SUMIF('Week1'!$A:$A,$A176,'Week1'!$F:$F)+SUMIF('Week2'!$A:$A,$A176,'Week2'!$F:$F)+SUMIF('Week3'!$A:$A,$A176,'Week3'!$F:$F)+SUMIF('Week4'!$A:$A,$A176,'Week4'!$F:$F)</f>
        <v/>
      </c>
      <c r="G176" s="7">
        <f>SUMIF('Week1'!$A:$A,$A176,'Week1'!$G:$G)+SUMIF('Week2'!$A:$A,$A176,'Week2'!$G:$G)+SUMIF('Week3'!$A:$A,$A176,'Week3'!$G:$G)+SUMIF('Week4'!$A:$A,$A176,'Week4'!$G:$G)</f>
        <v/>
      </c>
      <c r="H176" s="7">
        <f>SUMIF('Week1'!$A:$A,$A176,'Week1'!$H:$H)+SUMIF('Week2'!$A:$A,$A176,'Week2'!$H:$H)+SUMIF('Week3'!$A:$A,$A176,'Week3'!$H:$H)+SUMIF('Week4'!$A:$A,$A176,'Week4'!$H:$H)</f>
        <v/>
      </c>
    </row>
    <row r="177">
      <c r="A177" s="6" t="inlineStr">
        <is>
          <t>D SETHALA EOLL</t>
        </is>
      </c>
      <c r="B177" s="6" t="inlineStr">
        <is>
          <t>A-EL PROD BELT</t>
        </is>
      </c>
      <c r="C177" s="7" t="n">
        <v>0</v>
      </c>
      <c r="D177" s="7">
        <f>SUMIF('Week1'!$A:$A,$A177,'Week1'!$D:$D)+SUMIF('Week2'!$A:$A,$A177,'Week2'!$D:$D)+SUMIF('Week3'!$A:$A,$A177,'Week3'!$D:$D)+SUMIF('Week4'!$A:$A,$A177,'Week4'!$D:$D)</f>
        <v/>
      </c>
      <c r="E177" s="7">
        <f>SUMIF('Week1'!$A:$A,$A177,'Week1'!$E:$E)+SUMIF('Week2'!$A:$A,$A177,'Week2'!$E:$E)+SUMIF('Week3'!$A:$A,$A177,'Week3'!$E:$E)+SUMIF('Week4'!$A:$A,$A177,'Week4'!$E:$E)</f>
        <v/>
      </c>
      <c r="F177" s="7">
        <f>SUMIF('Week1'!$A:$A,$A177,'Week1'!$F:$F)+SUMIF('Week2'!$A:$A,$A177,'Week2'!$F:$F)+SUMIF('Week3'!$A:$A,$A177,'Week3'!$F:$F)+SUMIF('Week4'!$A:$A,$A177,'Week4'!$F:$F)</f>
        <v/>
      </c>
      <c r="G177" s="7">
        <f>SUMIF('Week1'!$A:$A,$A177,'Week1'!$G:$G)+SUMIF('Week2'!$A:$A,$A177,'Week2'!$G:$G)+SUMIF('Week3'!$A:$A,$A177,'Week3'!$G:$G)+SUMIF('Week4'!$A:$A,$A177,'Week4'!$G:$G)</f>
        <v/>
      </c>
      <c r="H177" s="7">
        <f>SUMIF('Week1'!$A:$A,$A177,'Week1'!$H:$H)+SUMIF('Week2'!$A:$A,$A177,'Week2'!$H:$H)+SUMIF('Week3'!$A:$A,$A177,'Week3'!$H:$H)+SUMIF('Week4'!$A:$A,$A177,'Week4'!$H:$H)</f>
        <v/>
      </c>
    </row>
    <row r="178">
      <c r="A178" s="6" t="inlineStr">
        <is>
          <t>B UCARO EOLL</t>
        </is>
      </c>
      <c r="B178" s="6" t="inlineStr">
        <is>
          <t>A-EL PROD BELT</t>
        </is>
      </c>
      <c r="C178" s="7" t="n">
        <v>0</v>
      </c>
      <c r="D178" s="7">
        <f>SUMIF('Week1'!$A:$A,$A178,'Week1'!$D:$D)+SUMIF('Week2'!$A:$A,$A178,'Week2'!$D:$D)+SUMIF('Week3'!$A:$A,$A178,'Week3'!$D:$D)+SUMIF('Week4'!$A:$A,$A178,'Week4'!$D:$D)</f>
        <v/>
      </c>
      <c r="E178" s="7">
        <f>SUMIF('Week1'!$A:$A,$A178,'Week1'!$E:$E)+SUMIF('Week2'!$A:$A,$A178,'Week2'!$E:$E)+SUMIF('Week3'!$A:$A,$A178,'Week3'!$E:$E)+SUMIF('Week4'!$A:$A,$A178,'Week4'!$E:$E)</f>
        <v/>
      </c>
      <c r="F178" s="7">
        <f>SUMIF('Week1'!$A:$A,$A178,'Week1'!$F:$F)+SUMIF('Week2'!$A:$A,$A178,'Week2'!$F:$F)+SUMIF('Week3'!$A:$A,$A178,'Week3'!$F:$F)+SUMIF('Week4'!$A:$A,$A178,'Week4'!$F:$F)</f>
        <v/>
      </c>
      <c r="G178" s="7">
        <f>SUMIF('Week1'!$A:$A,$A178,'Week1'!$G:$G)+SUMIF('Week2'!$A:$A,$A178,'Week2'!$G:$G)+SUMIF('Week3'!$A:$A,$A178,'Week3'!$G:$G)+SUMIF('Week4'!$A:$A,$A178,'Week4'!$G:$G)</f>
        <v/>
      </c>
      <c r="H178" s="7">
        <f>SUMIF('Week1'!$A:$A,$A178,'Week1'!$H:$H)+SUMIF('Week2'!$A:$A,$A178,'Week2'!$H:$H)+SUMIF('Week3'!$A:$A,$A178,'Week3'!$H:$H)+SUMIF('Week4'!$A:$A,$A178,'Week4'!$H:$H)</f>
        <v/>
      </c>
    </row>
    <row r="179">
      <c r="A179" s="6" t="inlineStr">
        <is>
          <t>K UKORDA BAMANIA EOLL</t>
        </is>
      </c>
      <c r="B179" s="6" t="inlineStr">
        <is>
          <t>A-EL PROD BELT</t>
        </is>
      </c>
      <c r="C179" s="7" t="n">
        <v>0</v>
      </c>
      <c r="D179" s="7">
        <f>SUMIF('Week1'!$A:$A,$A179,'Week1'!$D:$D)+SUMIF('Week2'!$A:$A,$A179,'Week2'!$D:$D)+SUMIF('Week3'!$A:$A,$A179,'Week3'!$D:$D)+SUMIF('Week4'!$A:$A,$A179,'Week4'!$D:$D)</f>
        <v/>
      </c>
      <c r="E179" s="7">
        <f>SUMIF('Week1'!$A:$A,$A179,'Week1'!$E:$E)+SUMIF('Week2'!$A:$A,$A179,'Week2'!$E:$E)+SUMIF('Week3'!$A:$A,$A179,'Week3'!$E:$E)+SUMIF('Week4'!$A:$A,$A179,'Week4'!$E:$E)</f>
        <v/>
      </c>
      <c r="F179" s="7">
        <f>SUMIF('Week1'!$A:$A,$A179,'Week1'!$F:$F)+SUMIF('Week2'!$A:$A,$A179,'Week2'!$F:$F)+SUMIF('Week3'!$A:$A,$A179,'Week3'!$F:$F)+SUMIF('Week4'!$A:$A,$A179,'Week4'!$F:$F)</f>
        <v/>
      </c>
      <c r="G179" s="7">
        <f>SUMIF('Week1'!$A:$A,$A179,'Week1'!$G:$G)+SUMIF('Week2'!$A:$A,$A179,'Week2'!$G:$G)+SUMIF('Week3'!$A:$A,$A179,'Week3'!$G:$G)+SUMIF('Week4'!$A:$A,$A179,'Week4'!$G:$G)</f>
        <v/>
      </c>
      <c r="H179" s="7">
        <f>SUMIF('Week1'!$A:$A,$A179,'Week1'!$H:$H)+SUMIF('Week2'!$A:$A,$A179,'Week2'!$H:$H)+SUMIF('Week3'!$A:$A,$A179,'Week3'!$H:$H)+SUMIF('Week4'!$A:$A,$A179,'Week4'!$H:$H)</f>
        <v/>
      </c>
    </row>
    <row r="180">
      <c r="A180" s="6" t="inlineStr">
        <is>
          <t>D VISHAL EOLL</t>
        </is>
      </c>
      <c r="B180" s="6" t="inlineStr">
        <is>
          <t>A-EL PROD BELT</t>
        </is>
      </c>
      <c r="C180" s="7" t="n">
        <v>0</v>
      </c>
      <c r="D180" s="7">
        <f>SUMIF('Week1'!$A:$A,$A180,'Week1'!$D:$D)+SUMIF('Week2'!$A:$A,$A180,'Week2'!$D:$D)+SUMIF('Week3'!$A:$A,$A180,'Week3'!$D:$D)+SUMIF('Week4'!$A:$A,$A180,'Week4'!$D:$D)</f>
        <v/>
      </c>
      <c r="E180" s="7">
        <f>SUMIF('Week1'!$A:$A,$A180,'Week1'!$E:$E)+SUMIF('Week2'!$A:$A,$A180,'Week2'!$E:$E)+SUMIF('Week3'!$A:$A,$A180,'Week3'!$E:$E)+SUMIF('Week4'!$A:$A,$A180,'Week4'!$E:$E)</f>
        <v/>
      </c>
      <c r="F180" s="7">
        <f>SUMIF('Week1'!$A:$A,$A180,'Week1'!$F:$F)+SUMIF('Week2'!$A:$A,$A180,'Week2'!$F:$F)+SUMIF('Week3'!$A:$A,$A180,'Week3'!$F:$F)+SUMIF('Week4'!$A:$A,$A180,'Week4'!$F:$F)</f>
        <v/>
      </c>
      <c r="G180" s="7">
        <f>SUMIF('Week1'!$A:$A,$A180,'Week1'!$G:$G)+SUMIF('Week2'!$A:$A,$A180,'Week2'!$G:$G)+SUMIF('Week3'!$A:$A,$A180,'Week3'!$G:$G)+SUMIF('Week4'!$A:$A,$A180,'Week4'!$G:$G)</f>
        <v/>
      </c>
      <c r="H180" s="7">
        <f>SUMIF('Week1'!$A:$A,$A180,'Week1'!$H:$H)+SUMIF('Week2'!$A:$A,$A180,'Week2'!$H:$H)+SUMIF('Week3'!$A:$A,$A180,'Week3'!$H:$H)+SUMIF('Week4'!$A:$A,$A180,'Week4'!$H:$H)</f>
        <v/>
      </c>
    </row>
    <row r="181">
      <c r="A181" s="6" t="inlineStr">
        <is>
          <t>C BABU EOLL</t>
        </is>
      </c>
      <c r="B181" s="6" t="inlineStr">
        <is>
          <t>A-EL PROD FORMING</t>
        </is>
      </c>
      <c r="C181" s="7" t="n">
        <v>0</v>
      </c>
      <c r="D181" s="7">
        <f>SUMIF('Week1'!$A:$A,$A181,'Week1'!$D:$D)+SUMIF('Week2'!$A:$A,$A181,'Week2'!$D:$D)+SUMIF('Week3'!$A:$A,$A181,'Week3'!$D:$D)+SUMIF('Week4'!$A:$A,$A181,'Week4'!$D:$D)</f>
        <v/>
      </c>
      <c r="E181" s="7">
        <f>SUMIF('Week1'!$A:$A,$A181,'Week1'!$E:$E)+SUMIF('Week2'!$A:$A,$A181,'Week2'!$E:$E)+SUMIF('Week3'!$A:$A,$A181,'Week3'!$E:$E)+SUMIF('Week4'!$A:$A,$A181,'Week4'!$E:$E)</f>
        <v/>
      </c>
      <c r="F181" s="7">
        <f>SUMIF('Week1'!$A:$A,$A181,'Week1'!$F:$F)+SUMIF('Week2'!$A:$A,$A181,'Week2'!$F:$F)+SUMIF('Week3'!$A:$A,$A181,'Week3'!$F:$F)+SUMIF('Week4'!$A:$A,$A181,'Week4'!$F:$F)</f>
        <v/>
      </c>
      <c r="G181" s="7">
        <f>SUMIF('Week1'!$A:$A,$A181,'Week1'!$G:$G)+SUMIF('Week2'!$A:$A,$A181,'Week2'!$G:$G)+SUMIF('Week3'!$A:$A,$A181,'Week3'!$G:$G)+SUMIF('Week4'!$A:$A,$A181,'Week4'!$G:$G)</f>
        <v/>
      </c>
      <c r="H181" s="7">
        <f>SUMIF('Week1'!$A:$A,$A181,'Week1'!$H:$H)+SUMIF('Week2'!$A:$A,$A181,'Week2'!$H:$H)+SUMIF('Week3'!$A:$A,$A181,'Week3'!$H:$H)+SUMIF('Week4'!$A:$A,$A181,'Week4'!$H:$H)</f>
        <v/>
      </c>
    </row>
    <row r="182">
      <c r="A182" s="6" t="inlineStr">
        <is>
          <t>P JASVANT SOLANKI EOLL</t>
        </is>
      </c>
      <c r="B182" s="6" t="inlineStr">
        <is>
          <t>A-EL PROD FORMING</t>
        </is>
      </c>
      <c r="C182" s="7" t="n">
        <v>0</v>
      </c>
      <c r="D182" s="7">
        <f>SUMIF('Week1'!$A:$A,$A182,'Week1'!$D:$D)+SUMIF('Week2'!$A:$A,$A182,'Week2'!$D:$D)+SUMIF('Week3'!$A:$A,$A182,'Week3'!$D:$D)+SUMIF('Week4'!$A:$A,$A182,'Week4'!$D:$D)</f>
        <v/>
      </c>
      <c r="E182" s="7">
        <f>SUMIF('Week1'!$A:$A,$A182,'Week1'!$E:$E)+SUMIF('Week2'!$A:$A,$A182,'Week2'!$E:$E)+SUMIF('Week3'!$A:$A,$A182,'Week3'!$E:$E)+SUMIF('Week4'!$A:$A,$A182,'Week4'!$E:$E)</f>
        <v/>
      </c>
      <c r="F182" s="7">
        <f>SUMIF('Week1'!$A:$A,$A182,'Week1'!$F:$F)+SUMIF('Week2'!$A:$A,$A182,'Week2'!$F:$F)+SUMIF('Week3'!$A:$A,$A182,'Week3'!$F:$F)+SUMIF('Week4'!$A:$A,$A182,'Week4'!$F:$F)</f>
        <v/>
      </c>
      <c r="G182" s="7">
        <f>SUMIF('Week1'!$A:$A,$A182,'Week1'!$G:$G)+SUMIF('Week2'!$A:$A,$A182,'Week2'!$G:$G)+SUMIF('Week3'!$A:$A,$A182,'Week3'!$G:$G)+SUMIF('Week4'!$A:$A,$A182,'Week4'!$G:$G)</f>
        <v/>
      </c>
      <c r="H182" s="7">
        <f>SUMIF('Week1'!$A:$A,$A182,'Week1'!$H:$H)+SUMIF('Week2'!$A:$A,$A182,'Week2'!$H:$H)+SUMIF('Week3'!$A:$A,$A182,'Week3'!$H:$H)+SUMIF('Week4'!$A:$A,$A182,'Week4'!$H:$H)</f>
        <v/>
      </c>
    </row>
    <row r="183">
      <c r="A183" s="6" t="inlineStr">
        <is>
          <t>R KANUBHAI PATEL EOLL</t>
        </is>
      </c>
      <c r="B183" s="6" t="inlineStr">
        <is>
          <t>A-EL PROD FORMING</t>
        </is>
      </c>
      <c r="C183" s="7" t="n">
        <v>0</v>
      </c>
      <c r="D183" s="7">
        <f>SUMIF('Week1'!$A:$A,$A183,'Week1'!$D:$D)+SUMIF('Week2'!$A:$A,$A183,'Week2'!$D:$D)+SUMIF('Week3'!$A:$A,$A183,'Week3'!$D:$D)+SUMIF('Week4'!$A:$A,$A183,'Week4'!$D:$D)</f>
        <v/>
      </c>
      <c r="E183" s="7">
        <f>SUMIF('Week1'!$A:$A,$A183,'Week1'!$E:$E)+SUMIF('Week2'!$A:$A,$A183,'Week2'!$E:$E)+SUMIF('Week3'!$A:$A,$A183,'Week3'!$E:$E)+SUMIF('Week4'!$A:$A,$A183,'Week4'!$E:$E)</f>
        <v/>
      </c>
      <c r="F183" s="7">
        <f>SUMIF('Week1'!$A:$A,$A183,'Week1'!$F:$F)+SUMIF('Week2'!$A:$A,$A183,'Week2'!$F:$F)+SUMIF('Week3'!$A:$A,$A183,'Week3'!$F:$F)+SUMIF('Week4'!$A:$A,$A183,'Week4'!$F:$F)</f>
        <v/>
      </c>
      <c r="G183" s="7">
        <f>SUMIF('Week1'!$A:$A,$A183,'Week1'!$G:$G)+SUMIF('Week2'!$A:$A,$A183,'Week2'!$G:$G)+SUMIF('Week3'!$A:$A,$A183,'Week3'!$G:$G)+SUMIF('Week4'!$A:$A,$A183,'Week4'!$G:$G)</f>
        <v/>
      </c>
      <c r="H183" s="7">
        <f>SUMIF('Week1'!$A:$A,$A183,'Week1'!$H:$H)+SUMIF('Week2'!$A:$A,$A183,'Week2'!$H:$H)+SUMIF('Week3'!$A:$A,$A183,'Week3'!$H:$H)+SUMIF('Week4'!$A:$A,$A183,'Week4'!$H:$H)</f>
        <v/>
      </c>
    </row>
    <row r="184">
      <c r="A184" s="6" t="inlineStr">
        <is>
          <t>S DEVA EOLL</t>
        </is>
      </c>
      <c r="B184" s="6" t="inlineStr">
        <is>
          <t>A-EL PROD FRYING</t>
        </is>
      </c>
      <c r="C184" s="7" t="n">
        <v>0</v>
      </c>
      <c r="D184" s="7">
        <f>SUMIF('Week1'!$A:$A,$A184,'Week1'!$D:$D)+SUMIF('Week2'!$A:$A,$A184,'Week2'!$D:$D)+SUMIF('Week3'!$A:$A,$A184,'Week3'!$D:$D)+SUMIF('Week4'!$A:$A,$A184,'Week4'!$D:$D)</f>
        <v/>
      </c>
      <c r="E184" s="7">
        <f>SUMIF('Week1'!$A:$A,$A184,'Week1'!$E:$E)+SUMIF('Week2'!$A:$A,$A184,'Week2'!$E:$E)+SUMIF('Week3'!$A:$A,$A184,'Week3'!$E:$E)+SUMIF('Week4'!$A:$A,$A184,'Week4'!$E:$E)</f>
        <v/>
      </c>
      <c r="F184" s="7">
        <f>SUMIF('Week1'!$A:$A,$A184,'Week1'!$F:$F)+SUMIF('Week2'!$A:$A,$A184,'Week2'!$F:$F)+SUMIF('Week3'!$A:$A,$A184,'Week3'!$F:$F)+SUMIF('Week4'!$A:$A,$A184,'Week4'!$F:$F)</f>
        <v/>
      </c>
      <c r="G184" s="7">
        <f>SUMIF('Week1'!$A:$A,$A184,'Week1'!$G:$G)+SUMIF('Week2'!$A:$A,$A184,'Week2'!$G:$G)+SUMIF('Week3'!$A:$A,$A184,'Week3'!$G:$G)+SUMIF('Week4'!$A:$A,$A184,'Week4'!$G:$G)</f>
        <v/>
      </c>
      <c r="H184" s="7">
        <f>SUMIF('Week1'!$A:$A,$A184,'Week1'!$H:$H)+SUMIF('Week2'!$A:$A,$A184,'Week2'!$H:$H)+SUMIF('Week3'!$A:$A,$A184,'Week3'!$H:$H)+SUMIF('Week4'!$A:$A,$A184,'Week4'!$H:$H)</f>
        <v/>
      </c>
    </row>
    <row r="185">
      <c r="A185" s="6" t="inlineStr">
        <is>
          <t>R KALPESHKUMAR EOLL</t>
        </is>
      </c>
      <c r="B185" s="6" t="inlineStr">
        <is>
          <t>A-EL PROD FRYING</t>
        </is>
      </c>
      <c r="C185" s="7" t="n">
        <v>0</v>
      </c>
      <c r="D185" s="7">
        <f>SUMIF('Week1'!$A:$A,$A185,'Week1'!$D:$D)+SUMIF('Week2'!$A:$A,$A185,'Week2'!$D:$D)+SUMIF('Week3'!$A:$A,$A185,'Week3'!$D:$D)+SUMIF('Week4'!$A:$A,$A185,'Week4'!$D:$D)</f>
        <v/>
      </c>
      <c r="E185" s="7">
        <f>SUMIF('Week1'!$A:$A,$A185,'Week1'!$E:$E)+SUMIF('Week2'!$A:$A,$A185,'Week2'!$E:$E)+SUMIF('Week3'!$A:$A,$A185,'Week3'!$E:$E)+SUMIF('Week4'!$A:$A,$A185,'Week4'!$E:$E)</f>
        <v/>
      </c>
      <c r="F185" s="7">
        <f>SUMIF('Week1'!$A:$A,$A185,'Week1'!$F:$F)+SUMIF('Week2'!$A:$A,$A185,'Week2'!$F:$F)+SUMIF('Week3'!$A:$A,$A185,'Week3'!$F:$F)+SUMIF('Week4'!$A:$A,$A185,'Week4'!$F:$F)</f>
        <v/>
      </c>
      <c r="G185" s="7">
        <f>SUMIF('Week1'!$A:$A,$A185,'Week1'!$G:$G)+SUMIF('Week2'!$A:$A,$A185,'Week2'!$G:$G)+SUMIF('Week3'!$A:$A,$A185,'Week3'!$G:$G)+SUMIF('Week4'!$A:$A,$A185,'Week4'!$G:$G)</f>
        <v/>
      </c>
      <c r="H185" s="7">
        <f>SUMIF('Week1'!$A:$A,$A185,'Week1'!$H:$H)+SUMIF('Week2'!$A:$A,$A185,'Week2'!$H:$H)+SUMIF('Week3'!$A:$A,$A185,'Week3'!$H:$H)+SUMIF('Week4'!$A:$A,$A185,'Week4'!$H:$H)</f>
        <v/>
      </c>
    </row>
    <row r="186">
      <c r="A186" s="6" t="inlineStr">
        <is>
          <t>P PRADIPKUMAR EOLL</t>
        </is>
      </c>
      <c r="B186" s="6" t="inlineStr">
        <is>
          <t>A-EL PROD FRYING</t>
        </is>
      </c>
      <c r="C186" s="7" t="n">
        <v>0</v>
      </c>
      <c r="D186" s="7">
        <f>SUMIF('Week1'!$A:$A,$A186,'Week1'!$D:$D)+SUMIF('Week2'!$A:$A,$A186,'Week2'!$D:$D)+SUMIF('Week3'!$A:$A,$A186,'Week3'!$D:$D)+SUMIF('Week4'!$A:$A,$A186,'Week4'!$D:$D)</f>
        <v/>
      </c>
      <c r="E186" s="7">
        <f>SUMIF('Week1'!$A:$A,$A186,'Week1'!$E:$E)+SUMIF('Week2'!$A:$A,$A186,'Week2'!$E:$E)+SUMIF('Week3'!$A:$A,$A186,'Week3'!$E:$E)+SUMIF('Week4'!$A:$A,$A186,'Week4'!$E:$E)</f>
        <v/>
      </c>
      <c r="F186" s="7">
        <f>SUMIF('Week1'!$A:$A,$A186,'Week1'!$F:$F)+SUMIF('Week2'!$A:$A,$A186,'Week2'!$F:$F)+SUMIF('Week3'!$A:$A,$A186,'Week3'!$F:$F)+SUMIF('Week4'!$A:$A,$A186,'Week4'!$F:$F)</f>
        <v/>
      </c>
      <c r="G186" s="7">
        <f>SUMIF('Week1'!$A:$A,$A186,'Week1'!$G:$G)+SUMIF('Week2'!$A:$A,$A186,'Week2'!$G:$G)+SUMIF('Week3'!$A:$A,$A186,'Week3'!$G:$G)+SUMIF('Week4'!$A:$A,$A186,'Week4'!$G:$G)</f>
        <v/>
      </c>
      <c r="H186" s="7">
        <f>SUMIF('Week1'!$A:$A,$A186,'Week1'!$H:$H)+SUMIF('Week2'!$A:$A,$A186,'Week2'!$H:$H)+SUMIF('Week3'!$A:$A,$A186,'Week3'!$H:$H)+SUMIF('Week4'!$A:$A,$A186,'Week4'!$H:$H)</f>
        <v/>
      </c>
    </row>
    <row r="187">
      <c r="A187" s="6" t="inlineStr">
        <is>
          <t>P RAMESH EOLL</t>
        </is>
      </c>
      <c r="B187" s="6" t="inlineStr">
        <is>
          <t>A-EL PROD FRYING</t>
        </is>
      </c>
      <c r="C187" s="7" t="n">
        <v>0</v>
      </c>
      <c r="D187" s="7">
        <f>SUMIF('Week1'!$A:$A,$A187,'Week1'!$D:$D)+SUMIF('Week2'!$A:$A,$A187,'Week2'!$D:$D)+SUMIF('Week3'!$A:$A,$A187,'Week3'!$D:$D)+SUMIF('Week4'!$A:$A,$A187,'Week4'!$D:$D)</f>
        <v/>
      </c>
      <c r="E187" s="7">
        <f>SUMIF('Week1'!$A:$A,$A187,'Week1'!$E:$E)+SUMIF('Week2'!$A:$A,$A187,'Week2'!$E:$E)+SUMIF('Week3'!$A:$A,$A187,'Week3'!$E:$E)+SUMIF('Week4'!$A:$A,$A187,'Week4'!$E:$E)</f>
        <v/>
      </c>
      <c r="F187" s="7">
        <f>SUMIF('Week1'!$A:$A,$A187,'Week1'!$F:$F)+SUMIF('Week2'!$A:$A,$A187,'Week2'!$F:$F)+SUMIF('Week3'!$A:$A,$A187,'Week3'!$F:$F)+SUMIF('Week4'!$A:$A,$A187,'Week4'!$F:$F)</f>
        <v/>
      </c>
      <c r="G187" s="7">
        <f>SUMIF('Week1'!$A:$A,$A187,'Week1'!$G:$G)+SUMIF('Week2'!$A:$A,$A187,'Week2'!$G:$G)+SUMIF('Week3'!$A:$A,$A187,'Week3'!$G:$G)+SUMIF('Week4'!$A:$A,$A187,'Week4'!$G:$G)</f>
        <v/>
      </c>
      <c r="H187" s="7">
        <f>SUMIF('Week1'!$A:$A,$A187,'Week1'!$H:$H)+SUMIF('Week2'!$A:$A,$A187,'Week2'!$H:$H)+SUMIF('Week3'!$A:$A,$A187,'Week3'!$H:$H)+SUMIF('Week4'!$A:$A,$A187,'Week4'!$H:$H)</f>
        <v/>
      </c>
    </row>
    <row r="188">
      <c r="A188" s="6" t="inlineStr">
        <is>
          <t>G UKARDA BAMANIA EOLL</t>
        </is>
      </c>
      <c r="B188" s="6" t="inlineStr">
        <is>
          <t>A-EL PROD FRYING</t>
        </is>
      </c>
      <c r="C188" s="7" t="n">
        <v>0</v>
      </c>
      <c r="D188" s="7">
        <f>SUMIF('Week1'!$A:$A,$A188,'Week1'!$D:$D)+SUMIF('Week2'!$A:$A,$A188,'Week2'!$D:$D)+SUMIF('Week3'!$A:$A,$A188,'Week3'!$D:$D)+SUMIF('Week4'!$A:$A,$A188,'Week4'!$D:$D)</f>
        <v/>
      </c>
      <c r="E188" s="7">
        <f>SUMIF('Week1'!$A:$A,$A188,'Week1'!$E:$E)+SUMIF('Week2'!$A:$A,$A188,'Week2'!$E:$E)+SUMIF('Week3'!$A:$A,$A188,'Week3'!$E:$E)+SUMIF('Week4'!$A:$A,$A188,'Week4'!$E:$E)</f>
        <v/>
      </c>
      <c r="F188" s="7">
        <f>SUMIF('Week1'!$A:$A,$A188,'Week1'!$F:$F)+SUMIF('Week2'!$A:$A,$A188,'Week2'!$F:$F)+SUMIF('Week3'!$A:$A,$A188,'Week3'!$F:$F)+SUMIF('Week4'!$A:$A,$A188,'Week4'!$F:$F)</f>
        <v/>
      </c>
      <c r="G188" s="7">
        <f>SUMIF('Week1'!$A:$A,$A188,'Week1'!$G:$G)+SUMIF('Week2'!$A:$A,$A188,'Week2'!$G:$G)+SUMIF('Week3'!$A:$A,$A188,'Week3'!$G:$G)+SUMIF('Week4'!$A:$A,$A188,'Week4'!$G:$G)</f>
        <v/>
      </c>
      <c r="H188" s="7">
        <f>SUMIF('Week1'!$A:$A,$A188,'Week1'!$H:$H)+SUMIF('Week2'!$A:$A,$A188,'Week2'!$H:$H)+SUMIF('Week3'!$A:$A,$A188,'Week3'!$H:$H)+SUMIF('Week4'!$A:$A,$A188,'Week4'!$H:$H)</f>
        <v/>
      </c>
    </row>
    <row r="189">
      <c r="A189" s="6" t="inlineStr">
        <is>
          <t>C ALMEIDA EOLL</t>
        </is>
      </c>
      <c r="B189" s="6" t="inlineStr">
        <is>
          <t>A-EL PROD PREPARATION</t>
        </is>
      </c>
      <c r="C189" s="7" t="n">
        <v>0</v>
      </c>
      <c r="D189" s="7">
        <f>SUMIF('Week1'!$A:$A,$A189,'Week1'!$D:$D)+SUMIF('Week2'!$A:$A,$A189,'Week2'!$D:$D)+SUMIF('Week3'!$A:$A,$A189,'Week3'!$D:$D)+SUMIF('Week4'!$A:$A,$A189,'Week4'!$D:$D)</f>
        <v/>
      </c>
      <c r="E189" s="7">
        <f>SUMIF('Week1'!$A:$A,$A189,'Week1'!$E:$E)+SUMIF('Week2'!$A:$A,$A189,'Week2'!$E:$E)+SUMIF('Week3'!$A:$A,$A189,'Week3'!$E:$E)+SUMIF('Week4'!$A:$A,$A189,'Week4'!$E:$E)</f>
        <v/>
      </c>
      <c r="F189" s="7">
        <f>SUMIF('Week1'!$A:$A,$A189,'Week1'!$F:$F)+SUMIF('Week2'!$A:$A,$A189,'Week2'!$F:$F)+SUMIF('Week3'!$A:$A,$A189,'Week3'!$F:$F)+SUMIF('Week4'!$A:$A,$A189,'Week4'!$F:$F)</f>
        <v/>
      </c>
      <c r="G189" s="7">
        <f>SUMIF('Week1'!$A:$A,$A189,'Week1'!$G:$G)+SUMIF('Week2'!$A:$A,$A189,'Week2'!$G:$G)+SUMIF('Week3'!$A:$A,$A189,'Week3'!$G:$G)+SUMIF('Week4'!$A:$A,$A189,'Week4'!$G:$G)</f>
        <v/>
      </c>
      <c r="H189" s="7">
        <f>SUMIF('Week1'!$A:$A,$A189,'Week1'!$H:$H)+SUMIF('Week2'!$A:$A,$A189,'Week2'!$H:$H)+SUMIF('Week3'!$A:$A,$A189,'Week3'!$H:$H)+SUMIF('Week4'!$A:$A,$A189,'Week4'!$H:$H)</f>
        <v/>
      </c>
    </row>
    <row r="190">
      <c r="A190" s="6" t="inlineStr">
        <is>
          <t>V CARSANE EOLL</t>
        </is>
      </c>
      <c r="B190" s="6" t="inlineStr">
        <is>
          <t>A-EL PROD PREPARATION</t>
        </is>
      </c>
      <c r="C190" s="7" t="n">
        <v>0</v>
      </c>
      <c r="D190" s="7">
        <f>SUMIF('Week1'!$A:$A,$A190,'Week1'!$D:$D)+SUMIF('Week2'!$A:$A,$A190,'Week2'!$D:$D)+SUMIF('Week3'!$A:$A,$A190,'Week3'!$D:$D)+SUMIF('Week4'!$A:$A,$A190,'Week4'!$D:$D)</f>
        <v/>
      </c>
      <c r="E190" s="7">
        <f>SUMIF('Week1'!$A:$A,$A190,'Week1'!$E:$E)+SUMIF('Week2'!$A:$A,$A190,'Week2'!$E:$E)+SUMIF('Week3'!$A:$A,$A190,'Week3'!$E:$E)+SUMIF('Week4'!$A:$A,$A190,'Week4'!$E:$E)</f>
        <v/>
      </c>
      <c r="F190" s="7">
        <f>SUMIF('Week1'!$A:$A,$A190,'Week1'!$F:$F)+SUMIF('Week2'!$A:$A,$A190,'Week2'!$F:$F)+SUMIF('Week3'!$A:$A,$A190,'Week3'!$F:$F)+SUMIF('Week4'!$A:$A,$A190,'Week4'!$F:$F)</f>
        <v/>
      </c>
      <c r="G190" s="7">
        <f>SUMIF('Week1'!$A:$A,$A190,'Week1'!$G:$G)+SUMIF('Week2'!$A:$A,$A190,'Week2'!$G:$G)+SUMIF('Week3'!$A:$A,$A190,'Week3'!$G:$G)+SUMIF('Week4'!$A:$A,$A190,'Week4'!$G:$G)</f>
        <v/>
      </c>
      <c r="H190" s="7">
        <f>SUMIF('Week1'!$A:$A,$A190,'Week1'!$H:$H)+SUMIF('Week2'!$A:$A,$A190,'Week2'!$H:$H)+SUMIF('Week3'!$A:$A,$A190,'Week3'!$H:$H)+SUMIF('Week4'!$A:$A,$A190,'Week4'!$H:$H)</f>
        <v/>
      </c>
    </row>
    <row r="191">
      <c r="A191" s="6" t="inlineStr">
        <is>
          <t>F DA CUNHA EOLL</t>
        </is>
      </c>
      <c r="B191" s="6" t="inlineStr">
        <is>
          <t>A-EL PROD PREPARATION</t>
        </is>
      </c>
      <c r="C191" s="7" t="n">
        <v>0</v>
      </c>
      <c r="D191" s="7">
        <f>SUMIF('Week1'!$A:$A,$A191,'Week1'!$D:$D)+SUMIF('Week2'!$A:$A,$A191,'Week2'!$D:$D)+SUMIF('Week3'!$A:$A,$A191,'Week3'!$D:$D)+SUMIF('Week4'!$A:$A,$A191,'Week4'!$D:$D)</f>
        <v/>
      </c>
      <c r="E191" s="7">
        <f>SUMIF('Week1'!$A:$A,$A191,'Week1'!$E:$E)+SUMIF('Week2'!$A:$A,$A191,'Week2'!$E:$E)+SUMIF('Week3'!$A:$A,$A191,'Week3'!$E:$E)+SUMIF('Week4'!$A:$A,$A191,'Week4'!$E:$E)</f>
        <v/>
      </c>
      <c r="F191" s="7">
        <f>SUMIF('Week1'!$A:$A,$A191,'Week1'!$F:$F)+SUMIF('Week2'!$A:$A,$A191,'Week2'!$F:$F)+SUMIF('Week3'!$A:$A,$A191,'Week3'!$F:$F)+SUMIF('Week4'!$A:$A,$A191,'Week4'!$F:$F)</f>
        <v/>
      </c>
      <c r="G191" s="7">
        <f>SUMIF('Week1'!$A:$A,$A191,'Week1'!$G:$G)+SUMIF('Week2'!$A:$A,$A191,'Week2'!$G:$G)+SUMIF('Week3'!$A:$A,$A191,'Week3'!$G:$G)+SUMIF('Week4'!$A:$A,$A191,'Week4'!$G:$G)</f>
        <v/>
      </c>
      <c r="H191" s="7">
        <f>SUMIF('Week1'!$A:$A,$A191,'Week1'!$H:$H)+SUMIF('Week2'!$A:$A,$A191,'Week2'!$H:$H)+SUMIF('Week3'!$A:$A,$A191,'Week3'!$H:$H)+SUMIF('Week4'!$A:$A,$A191,'Week4'!$H:$H)</f>
        <v/>
      </c>
    </row>
    <row r="192">
      <c r="A192" s="6" t="inlineStr">
        <is>
          <t>S DATTA EOLL</t>
        </is>
      </c>
      <c r="B192" s="6" t="inlineStr">
        <is>
          <t>A-EL PROD PREPARATION</t>
        </is>
      </c>
      <c r="C192" s="7" t="n">
        <v>0</v>
      </c>
      <c r="D192" s="7">
        <f>SUMIF('Week1'!$A:$A,$A192,'Week1'!$D:$D)+SUMIF('Week2'!$A:$A,$A192,'Week2'!$D:$D)+SUMIF('Week3'!$A:$A,$A192,'Week3'!$D:$D)+SUMIF('Week4'!$A:$A,$A192,'Week4'!$D:$D)</f>
        <v/>
      </c>
      <c r="E192" s="7">
        <f>SUMIF('Week1'!$A:$A,$A192,'Week1'!$E:$E)+SUMIF('Week2'!$A:$A,$A192,'Week2'!$E:$E)+SUMIF('Week3'!$A:$A,$A192,'Week3'!$E:$E)+SUMIF('Week4'!$A:$A,$A192,'Week4'!$E:$E)</f>
        <v/>
      </c>
      <c r="F192" s="7">
        <f>SUMIF('Week1'!$A:$A,$A192,'Week1'!$F:$F)+SUMIF('Week2'!$A:$A,$A192,'Week2'!$F:$F)+SUMIF('Week3'!$A:$A,$A192,'Week3'!$F:$F)+SUMIF('Week4'!$A:$A,$A192,'Week4'!$F:$F)</f>
        <v/>
      </c>
      <c r="G192" s="7">
        <f>SUMIF('Week1'!$A:$A,$A192,'Week1'!$G:$G)+SUMIF('Week2'!$A:$A,$A192,'Week2'!$G:$G)+SUMIF('Week3'!$A:$A,$A192,'Week3'!$G:$G)+SUMIF('Week4'!$A:$A,$A192,'Week4'!$G:$G)</f>
        <v/>
      </c>
      <c r="H192" s="7">
        <f>SUMIF('Week1'!$A:$A,$A192,'Week1'!$H:$H)+SUMIF('Week2'!$A:$A,$A192,'Week2'!$H:$H)+SUMIF('Week3'!$A:$A,$A192,'Week3'!$H:$H)+SUMIF('Week4'!$A:$A,$A192,'Week4'!$H:$H)</f>
        <v/>
      </c>
    </row>
    <row r="193">
      <c r="A193" s="6" t="inlineStr">
        <is>
          <t>A GIRI EOLL</t>
        </is>
      </c>
      <c r="B193" s="6" t="inlineStr">
        <is>
          <t>A-EL PROD PREPARATION</t>
        </is>
      </c>
      <c r="C193" s="7" t="n">
        <v>0</v>
      </c>
      <c r="D193" s="7">
        <f>SUMIF('Week1'!$A:$A,$A193,'Week1'!$D:$D)+SUMIF('Week2'!$A:$A,$A193,'Week2'!$D:$D)+SUMIF('Week3'!$A:$A,$A193,'Week3'!$D:$D)+SUMIF('Week4'!$A:$A,$A193,'Week4'!$D:$D)</f>
        <v/>
      </c>
      <c r="E193" s="7">
        <f>SUMIF('Week1'!$A:$A,$A193,'Week1'!$E:$E)+SUMIF('Week2'!$A:$A,$A193,'Week2'!$E:$E)+SUMIF('Week3'!$A:$A,$A193,'Week3'!$E:$E)+SUMIF('Week4'!$A:$A,$A193,'Week4'!$E:$E)</f>
        <v/>
      </c>
      <c r="F193" s="7">
        <f>SUMIF('Week1'!$A:$A,$A193,'Week1'!$F:$F)+SUMIF('Week2'!$A:$A,$A193,'Week2'!$F:$F)+SUMIF('Week3'!$A:$A,$A193,'Week3'!$F:$F)+SUMIF('Week4'!$A:$A,$A193,'Week4'!$F:$F)</f>
        <v/>
      </c>
      <c r="G193" s="7">
        <f>SUMIF('Week1'!$A:$A,$A193,'Week1'!$G:$G)+SUMIF('Week2'!$A:$A,$A193,'Week2'!$G:$G)+SUMIF('Week3'!$A:$A,$A193,'Week3'!$G:$G)+SUMIF('Week4'!$A:$A,$A193,'Week4'!$G:$G)</f>
        <v/>
      </c>
      <c r="H193" s="7">
        <f>SUMIF('Week1'!$A:$A,$A193,'Week1'!$H:$H)+SUMIF('Week2'!$A:$A,$A193,'Week2'!$H:$H)+SUMIF('Week3'!$A:$A,$A193,'Week3'!$H:$H)+SUMIF('Week4'!$A:$A,$A193,'Week4'!$H:$H)</f>
        <v/>
      </c>
    </row>
    <row r="194">
      <c r="A194" s="6" t="inlineStr">
        <is>
          <t>D LOBO EOLL</t>
        </is>
      </c>
      <c r="B194" s="6" t="inlineStr">
        <is>
          <t>A-EL PROD PREPARATION</t>
        </is>
      </c>
      <c r="C194" s="7" t="n">
        <v>0</v>
      </c>
      <c r="D194" s="7">
        <f>SUMIF('Week1'!$A:$A,$A194,'Week1'!$D:$D)+SUMIF('Week2'!$A:$A,$A194,'Week2'!$D:$D)+SUMIF('Week3'!$A:$A,$A194,'Week3'!$D:$D)+SUMIF('Week4'!$A:$A,$A194,'Week4'!$D:$D)</f>
        <v/>
      </c>
      <c r="E194" s="7">
        <f>SUMIF('Week1'!$A:$A,$A194,'Week1'!$E:$E)+SUMIF('Week2'!$A:$A,$A194,'Week2'!$E:$E)+SUMIF('Week3'!$A:$A,$A194,'Week3'!$E:$E)+SUMIF('Week4'!$A:$A,$A194,'Week4'!$E:$E)</f>
        <v/>
      </c>
      <c r="F194" s="7">
        <f>SUMIF('Week1'!$A:$A,$A194,'Week1'!$F:$F)+SUMIF('Week2'!$A:$A,$A194,'Week2'!$F:$F)+SUMIF('Week3'!$A:$A,$A194,'Week3'!$F:$F)+SUMIF('Week4'!$A:$A,$A194,'Week4'!$F:$F)</f>
        <v/>
      </c>
      <c r="G194" s="7">
        <f>SUMIF('Week1'!$A:$A,$A194,'Week1'!$G:$G)+SUMIF('Week2'!$A:$A,$A194,'Week2'!$G:$G)+SUMIF('Week3'!$A:$A,$A194,'Week3'!$G:$G)+SUMIF('Week4'!$A:$A,$A194,'Week4'!$G:$G)</f>
        <v/>
      </c>
      <c r="H194" s="7">
        <f>SUMIF('Week1'!$A:$A,$A194,'Week1'!$H:$H)+SUMIF('Week2'!$A:$A,$A194,'Week2'!$H:$H)+SUMIF('Week3'!$A:$A,$A194,'Week3'!$H:$H)+SUMIF('Week4'!$A:$A,$A194,'Week4'!$H:$H)</f>
        <v/>
      </c>
    </row>
    <row r="195">
      <c r="A195" s="6" t="inlineStr">
        <is>
          <t>D PREMJI EOLL</t>
        </is>
      </c>
      <c r="B195" s="6" t="inlineStr">
        <is>
          <t>A-EL PROD PREPARATION</t>
        </is>
      </c>
      <c r="C195" s="7" t="n">
        <v>0</v>
      </c>
      <c r="D195" s="7">
        <f>SUMIF('Week1'!$A:$A,$A195,'Week1'!$D:$D)+SUMIF('Week2'!$A:$A,$A195,'Week2'!$D:$D)+SUMIF('Week3'!$A:$A,$A195,'Week3'!$D:$D)+SUMIF('Week4'!$A:$A,$A195,'Week4'!$D:$D)</f>
        <v/>
      </c>
      <c r="E195" s="7">
        <f>SUMIF('Week1'!$A:$A,$A195,'Week1'!$E:$E)+SUMIF('Week2'!$A:$A,$A195,'Week2'!$E:$E)+SUMIF('Week3'!$A:$A,$A195,'Week3'!$E:$E)+SUMIF('Week4'!$A:$A,$A195,'Week4'!$E:$E)</f>
        <v/>
      </c>
      <c r="F195" s="7">
        <f>SUMIF('Week1'!$A:$A,$A195,'Week1'!$F:$F)+SUMIF('Week2'!$A:$A,$A195,'Week2'!$F:$F)+SUMIF('Week3'!$A:$A,$A195,'Week3'!$F:$F)+SUMIF('Week4'!$A:$A,$A195,'Week4'!$F:$F)</f>
        <v/>
      </c>
      <c r="G195" s="7">
        <f>SUMIF('Week1'!$A:$A,$A195,'Week1'!$G:$G)+SUMIF('Week2'!$A:$A,$A195,'Week2'!$G:$G)+SUMIF('Week3'!$A:$A,$A195,'Week3'!$G:$G)+SUMIF('Week4'!$A:$A,$A195,'Week4'!$G:$G)</f>
        <v/>
      </c>
      <c r="H195" s="7">
        <f>SUMIF('Week1'!$A:$A,$A195,'Week1'!$H:$H)+SUMIF('Week2'!$A:$A,$A195,'Week2'!$H:$H)+SUMIF('Week3'!$A:$A,$A195,'Week3'!$H:$H)+SUMIF('Week4'!$A:$A,$A195,'Week4'!$H:$H)</f>
        <v/>
      </c>
    </row>
    <row r="196">
      <c r="A196" s="6" t="inlineStr">
        <is>
          <t>K RAMESHBHAI VEKARIA EOLL</t>
        </is>
      </c>
      <c r="B196" s="6" t="inlineStr">
        <is>
          <t>A-EL TECHNICAL</t>
        </is>
      </c>
      <c r="C196" s="7" t="n">
        <v>0</v>
      </c>
      <c r="D196" s="7">
        <f>SUMIF('Week1'!$A:$A,$A196,'Week1'!$D:$D)+SUMIF('Week2'!$A:$A,$A196,'Week2'!$D:$D)+SUMIF('Week3'!$A:$A,$A196,'Week3'!$D:$D)+SUMIF('Week4'!$A:$A,$A196,'Week4'!$D:$D)</f>
        <v/>
      </c>
      <c r="E196" s="7">
        <f>SUMIF('Week1'!$A:$A,$A196,'Week1'!$E:$E)+SUMIF('Week2'!$A:$A,$A196,'Week2'!$E:$E)+SUMIF('Week3'!$A:$A,$A196,'Week3'!$E:$E)+SUMIF('Week4'!$A:$A,$A196,'Week4'!$E:$E)</f>
        <v/>
      </c>
      <c r="F196" s="7">
        <f>SUMIF('Week1'!$A:$A,$A196,'Week1'!$F:$F)+SUMIF('Week2'!$A:$A,$A196,'Week2'!$F:$F)+SUMIF('Week3'!$A:$A,$A196,'Week3'!$F:$F)+SUMIF('Week4'!$A:$A,$A196,'Week4'!$F:$F)</f>
        <v/>
      </c>
      <c r="G196" s="7">
        <f>SUMIF('Week1'!$A:$A,$A196,'Week1'!$G:$G)+SUMIF('Week2'!$A:$A,$A196,'Week2'!$G:$G)+SUMIF('Week3'!$A:$A,$A196,'Week3'!$G:$G)+SUMIF('Week4'!$A:$A,$A196,'Week4'!$G:$G)</f>
        <v/>
      </c>
      <c r="H196" s="7">
        <f>SUMIF('Week1'!$A:$A,$A196,'Week1'!$H:$H)+SUMIF('Week2'!$A:$A,$A196,'Week2'!$H:$H)+SUMIF('Week3'!$A:$A,$A196,'Week3'!$H:$H)+SUMIF('Week4'!$A:$A,$A196,'Week4'!$H:$H)</f>
        <v/>
      </c>
    </row>
    <row r="197">
      <c r="A197" s="6" t="inlineStr">
        <is>
          <t>T CARVALHO PRIDE MANAGEMENT</t>
        </is>
      </c>
      <c r="B197" s="6" t="inlineStr">
        <is>
          <t>A-PM PKNG HIGH_RISK</t>
        </is>
      </c>
      <c r="C197" s="7" t="n">
        <v>0</v>
      </c>
      <c r="D197" s="7">
        <f>SUMIF('Week1'!$A:$A,$A197,'Week1'!$D:$D)+SUMIF('Week2'!$A:$A,$A197,'Week2'!$D:$D)+SUMIF('Week3'!$A:$A,$A197,'Week3'!$D:$D)+SUMIF('Week4'!$A:$A,$A197,'Week4'!$D:$D)</f>
        <v/>
      </c>
      <c r="E197" s="7">
        <f>SUMIF('Week1'!$A:$A,$A197,'Week1'!$E:$E)+SUMIF('Week2'!$A:$A,$A197,'Week2'!$E:$E)+SUMIF('Week3'!$A:$A,$A197,'Week3'!$E:$E)+SUMIF('Week4'!$A:$A,$A197,'Week4'!$E:$E)</f>
        <v/>
      </c>
      <c r="F197" s="7">
        <f>SUMIF('Week1'!$A:$A,$A197,'Week1'!$F:$F)+SUMIF('Week2'!$A:$A,$A197,'Week2'!$F:$F)+SUMIF('Week3'!$A:$A,$A197,'Week3'!$F:$F)+SUMIF('Week4'!$A:$A,$A197,'Week4'!$F:$F)</f>
        <v/>
      </c>
      <c r="G197" s="7">
        <f>SUMIF('Week1'!$A:$A,$A197,'Week1'!$G:$G)+SUMIF('Week2'!$A:$A,$A197,'Week2'!$G:$G)+SUMIF('Week3'!$A:$A,$A197,'Week3'!$G:$G)+SUMIF('Week4'!$A:$A,$A197,'Week4'!$G:$G)</f>
        <v/>
      </c>
      <c r="H197" s="7">
        <f>SUMIF('Week1'!$A:$A,$A197,'Week1'!$H:$H)+SUMIF('Week2'!$A:$A,$A197,'Week2'!$H:$H)+SUMIF('Week3'!$A:$A,$A197,'Week3'!$H:$H)+SUMIF('Week4'!$A:$A,$A197,'Week4'!$H:$H)</f>
        <v/>
      </c>
    </row>
    <row r="198">
      <c r="A198" s="6" t="inlineStr">
        <is>
          <t>V KALSARIYA RESPONSE</t>
        </is>
      </c>
      <c r="B198" s="6" t="inlineStr">
        <is>
          <t>A-RS PKNG SLEEVING</t>
        </is>
      </c>
      <c r="C198" s="7" t="n">
        <v>0</v>
      </c>
      <c r="D198" s="7">
        <f>SUMIF('Week1'!$A:$A,$A198,'Week1'!$D:$D)+SUMIF('Week2'!$A:$A,$A198,'Week2'!$D:$D)+SUMIF('Week3'!$A:$A,$A198,'Week3'!$D:$D)+SUMIF('Week4'!$A:$A,$A198,'Week4'!$D:$D)</f>
        <v/>
      </c>
      <c r="E198" s="7">
        <f>SUMIF('Week1'!$A:$A,$A198,'Week1'!$E:$E)+SUMIF('Week2'!$A:$A,$A198,'Week2'!$E:$E)+SUMIF('Week3'!$A:$A,$A198,'Week3'!$E:$E)+SUMIF('Week4'!$A:$A,$A198,'Week4'!$E:$E)</f>
        <v/>
      </c>
      <c r="F198" s="7">
        <f>SUMIF('Week1'!$A:$A,$A198,'Week1'!$F:$F)+SUMIF('Week2'!$A:$A,$A198,'Week2'!$F:$F)+SUMIF('Week3'!$A:$A,$A198,'Week3'!$F:$F)+SUMIF('Week4'!$A:$A,$A198,'Week4'!$F:$F)</f>
        <v/>
      </c>
      <c r="G198" s="7">
        <f>SUMIF('Week1'!$A:$A,$A198,'Week1'!$G:$G)+SUMIF('Week2'!$A:$A,$A198,'Week2'!$G:$G)+SUMIF('Week3'!$A:$A,$A198,'Week3'!$G:$G)+SUMIF('Week4'!$A:$A,$A198,'Week4'!$G:$G)</f>
        <v/>
      </c>
      <c r="H198" s="7">
        <f>SUMIF('Week1'!$A:$A,$A198,'Week1'!$H:$H)+SUMIF('Week2'!$A:$A,$A198,'Week2'!$H:$H)+SUMIF('Week3'!$A:$A,$A198,'Week3'!$H:$H)+SUMIF('Week4'!$A:$A,$A198,'Week4'!$H:$H)</f>
        <v/>
      </c>
    </row>
    <row r="199">
      <c r="A199" s="6" t="inlineStr">
        <is>
          <t>S SINGH RESPONSE</t>
        </is>
      </c>
      <c r="B199" s="6" t="inlineStr">
        <is>
          <t>A-RS PROD BELT</t>
        </is>
      </c>
      <c r="C199" s="7" t="n">
        <v>0</v>
      </c>
      <c r="D199" s="7">
        <f>SUMIF('Week1'!$A:$A,$A199,'Week1'!$D:$D)+SUMIF('Week2'!$A:$A,$A199,'Week2'!$D:$D)+SUMIF('Week3'!$A:$A,$A199,'Week3'!$D:$D)+SUMIF('Week4'!$A:$A,$A199,'Week4'!$D:$D)</f>
        <v/>
      </c>
      <c r="E199" s="7">
        <f>SUMIF('Week1'!$A:$A,$A199,'Week1'!$E:$E)+SUMIF('Week2'!$A:$A,$A199,'Week2'!$E:$E)+SUMIF('Week3'!$A:$A,$A199,'Week3'!$E:$E)+SUMIF('Week4'!$A:$A,$A199,'Week4'!$E:$E)</f>
        <v/>
      </c>
      <c r="F199" s="7">
        <f>SUMIF('Week1'!$A:$A,$A199,'Week1'!$F:$F)+SUMIF('Week2'!$A:$A,$A199,'Week2'!$F:$F)+SUMIF('Week3'!$A:$A,$A199,'Week3'!$F:$F)+SUMIF('Week4'!$A:$A,$A199,'Week4'!$F:$F)</f>
        <v/>
      </c>
      <c r="G199" s="7">
        <f>SUMIF('Week1'!$A:$A,$A199,'Week1'!$G:$G)+SUMIF('Week2'!$A:$A,$A199,'Week2'!$G:$G)+SUMIF('Week3'!$A:$A,$A199,'Week3'!$G:$G)+SUMIF('Week4'!$A:$A,$A199,'Week4'!$G:$G)</f>
        <v/>
      </c>
      <c r="H199" s="7">
        <f>SUMIF('Week1'!$A:$A,$A199,'Week1'!$H:$H)+SUMIF('Week2'!$A:$A,$A199,'Week2'!$H:$H)+SUMIF('Week3'!$A:$A,$A199,'Week3'!$H:$H)+SUMIF('Week4'!$A:$A,$A199,'Week4'!$H:$H)</f>
        <v/>
      </c>
    </row>
    <row r="200">
      <c r="A200" s="6" t="inlineStr">
        <is>
          <t>H SONAWANE RESPONSE</t>
        </is>
      </c>
      <c r="B200" s="6" t="inlineStr">
        <is>
          <t>A-RS PROD BELT</t>
        </is>
      </c>
      <c r="C200" s="7" t="n">
        <v>0</v>
      </c>
      <c r="D200" s="7">
        <f>SUMIF('Week1'!$A:$A,$A200,'Week1'!$D:$D)+SUMIF('Week2'!$A:$A,$A200,'Week2'!$D:$D)+SUMIF('Week3'!$A:$A,$A200,'Week3'!$D:$D)+SUMIF('Week4'!$A:$A,$A200,'Week4'!$D:$D)</f>
        <v/>
      </c>
      <c r="E200" s="7">
        <f>SUMIF('Week1'!$A:$A,$A200,'Week1'!$E:$E)+SUMIF('Week2'!$A:$A,$A200,'Week2'!$E:$E)+SUMIF('Week3'!$A:$A,$A200,'Week3'!$E:$E)+SUMIF('Week4'!$A:$A,$A200,'Week4'!$E:$E)</f>
        <v/>
      </c>
      <c r="F200" s="7">
        <f>SUMIF('Week1'!$A:$A,$A200,'Week1'!$F:$F)+SUMIF('Week2'!$A:$A,$A200,'Week2'!$F:$F)+SUMIF('Week3'!$A:$A,$A200,'Week3'!$F:$F)+SUMIF('Week4'!$A:$A,$A200,'Week4'!$F:$F)</f>
        <v/>
      </c>
      <c r="G200" s="7">
        <f>SUMIF('Week1'!$A:$A,$A200,'Week1'!$G:$G)+SUMIF('Week2'!$A:$A,$A200,'Week2'!$G:$G)+SUMIF('Week3'!$A:$A,$A200,'Week3'!$G:$G)+SUMIF('Week4'!$A:$A,$A200,'Week4'!$G:$G)</f>
        <v/>
      </c>
      <c r="H200" s="7">
        <f>SUMIF('Week1'!$A:$A,$A200,'Week1'!$H:$H)+SUMIF('Week2'!$A:$A,$A200,'Week2'!$H:$H)+SUMIF('Week3'!$A:$A,$A200,'Week3'!$H:$H)+SUMIF('Week4'!$A:$A,$A200,'Week4'!$H:$H)</f>
        <v/>
      </c>
    </row>
    <row r="201">
      <c r="A201" s="6" t="inlineStr">
        <is>
          <t>A VAHORA RESPONSE</t>
        </is>
      </c>
      <c r="B201" s="6" t="inlineStr">
        <is>
          <t>A-RS PROD BELT</t>
        </is>
      </c>
      <c r="C201" s="7" t="n">
        <v>0</v>
      </c>
      <c r="D201" s="7">
        <f>SUMIF('Week1'!$A:$A,$A201,'Week1'!$D:$D)+SUMIF('Week2'!$A:$A,$A201,'Week2'!$D:$D)+SUMIF('Week3'!$A:$A,$A201,'Week3'!$D:$D)+SUMIF('Week4'!$A:$A,$A201,'Week4'!$D:$D)</f>
        <v/>
      </c>
      <c r="E201" s="7">
        <f>SUMIF('Week1'!$A:$A,$A201,'Week1'!$E:$E)+SUMIF('Week2'!$A:$A,$A201,'Week2'!$E:$E)+SUMIF('Week3'!$A:$A,$A201,'Week3'!$E:$E)+SUMIF('Week4'!$A:$A,$A201,'Week4'!$E:$E)</f>
        <v/>
      </c>
      <c r="F201" s="7">
        <f>SUMIF('Week1'!$A:$A,$A201,'Week1'!$F:$F)+SUMIF('Week2'!$A:$A,$A201,'Week2'!$F:$F)+SUMIF('Week3'!$A:$A,$A201,'Week3'!$F:$F)+SUMIF('Week4'!$A:$A,$A201,'Week4'!$F:$F)</f>
        <v/>
      </c>
      <c r="G201" s="7">
        <f>SUMIF('Week1'!$A:$A,$A201,'Week1'!$G:$G)+SUMIF('Week2'!$A:$A,$A201,'Week2'!$G:$G)+SUMIF('Week3'!$A:$A,$A201,'Week3'!$G:$G)+SUMIF('Week4'!$A:$A,$A201,'Week4'!$G:$G)</f>
        <v/>
      </c>
      <c r="H201" s="7">
        <f>SUMIF('Week1'!$A:$A,$A201,'Week1'!$H:$H)+SUMIF('Week2'!$A:$A,$A201,'Week2'!$H:$H)+SUMIF('Week3'!$A:$A,$A201,'Week3'!$H:$H)+SUMIF('Week4'!$A:$A,$A201,'Week4'!$H:$H)</f>
        <v/>
      </c>
    </row>
    <row r="202">
      <c r="A202" s="6" t="inlineStr">
        <is>
          <t>A DABGAR RESPONSE</t>
        </is>
      </c>
      <c r="B202" s="6" t="inlineStr">
        <is>
          <t>A-RS PROD FRYING</t>
        </is>
      </c>
      <c r="C202" s="7" t="n">
        <v>0</v>
      </c>
      <c r="D202" s="7">
        <f>SUMIF('Week1'!$A:$A,$A202,'Week1'!$D:$D)+SUMIF('Week2'!$A:$A,$A202,'Week2'!$D:$D)+SUMIF('Week3'!$A:$A,$A202,'Week3'!$D:$D)+SUMIF('Week4'!$A:$A,$A202,'Week4'!$D:$D)</f>
        <v/>
      </c>
      <c r="E202" s="7">
        <f>SUMIF('Week1'!$A:$A,$A202,'Week1'!$E:$E)+SUMIF('Week2'!$A:$A,$A202,'Week2'!$E:$E)+SUMIF('Week3'!$A:$A,$A202,'Week3'!$E:$E)+SUMIF('Week4'!$A:$A,$A202,'Week4'!$E:$E)</f>
        <v/>
      </c>
      <c r="F202" s="7">
        <f>SUMIF('Week1'!$A:$A,$A202,'Week1'!$F:$F)+SUMIF('Week2'!$A:$A,$A202,'Week2'!$F:$F)+SUMIF('Week3'!$A:$A,$A202,'Week3'!$F:$F)+SUMIF('Week4'!$A:$A,$A202,'Week4'!$F:$F)</f>
        <v/>
      </c>
      <c r="G202" s="7">
        <f>SUMIF('Week1'!$A:$A,$A202,'Week1'!$G:$G)+SUMIF('Week2'!$A:$A,$A202,'Week2'!$G:$G)+SUMIF('Week3'!$A:$A,$A202,'Week3'!$G:$G)+SUMIF('Week4'!$A:$A,$A202,'Week4'!$G:$G)</f>
        <v/>
      </c>
      <c r="H202" s="7">
        <f>SUMIF('Week1'!$A:$A,$A202,'Week1'!$H:$H)+SUMIF('Week2'!$A:$A,$A202,'Week2'!$H:$H)+SUMIF('Week3'!$A:$A,$A202,'Week3'!$H:$H)+SUMIF('Week4'!$A:$A,$A202,'Week4'!$H:$H)</f>
        <v/>
      </c>
    </row>
    <row r="203">
      <c r="A203" s="6" t="inlineStr">
        <is>
          <t>V HASMUKHBHAI PATEL EOLL</t>
        </is>
      </c>
      <c r="B203" s="6" t="inlineStr">
        <is>
          <t>A-EL PKNG SLEEVING</t>
        </is>
      </c>
      <c r="C203" s="7" t="n">
        <v>0</v>
      </c>
      <c r="D203" s="7">
        <f>SUMIF('Week1'!$A:$A,$A203,'Week1'!$D:$D)+SUMIF('Week2'!$A:$A,$A203,'Week2'!$D:$D)+SUMIF('Week3'!$A:$A,$A203,'Week3'!$D:$D)+SUMIF('Week4'!$A:$A,$A203,'Week4'!$D:$D)</f>
        <v/>
      </c>
      <c r="E203" s="7">
        <f>SUMIF('Week1'!$A:$A,$A203,'Week1'!$E:$E)+SUMIF('Week2'!$A:$A,$A203,'Week2'!$E:$E)+SUMIF('Week3'!$A:$A,$A203,'Week3'!$E:$E)+SUMIF('Week4'!$A:$A,$A203,'Week4'!$E:$E)</f>
        <v/>
      </c>
      <c r="F203" s="7">
        <f>SUMIF('Week1'!$A:$A,$A203,'Week1'!$F:$F)+SUMIF('Week2'!$A:$A,$A203,'Week2'!$F:$F)+SUMIF('Week3'!$A:$A,$A203,'Week3'!$F:$F)+SUMIF('Week4'!$A:$A,$A203,'Week4'!$F:$F)</f>
        <v/>
      </c>
      <c r="G203" s="7">
        <f>SUMIF('Week1'!$A:$A,$A203,'Week1'!$G:$G)+SUMIF('Week2'!$A:$A,$A203,'Week2'!$G:$G)+SUMIF('Week3'!$A:$A,$A203,'Week3'!$G:$G)+SUMIF('Week4'!$A:$A,$A203,'Week4'!$G:$G)</f>
        <v/>
      </c>
      <c r="H203" s="7">
        <f>SUMIF('Week1'!$A:$A,$A203,'Week1'!$H:$H)+SUMIF('Week2'!$A:$A,$A203,'Week2'!$H:$H)+SUMIF('Week3'!$A:$A,$A203,'Week3'!$H:$H)+SUMIF('Week4'!$A:$A,$A203,'Week4'!$H:$H)</f>
        <v/>
      </c>
    </row>
    <row r="204">
      <c r="A204" s="6" t="inlineStr">
        <is>
          <t>P VAISHYA EOLL</t>
        </is>
      </c>
      <c r="B204" s="6" t="inlineStr">
        <is>
          <t>A-EL WRHS</t>
        </is>
      </c>
      <c r="C204" s="7" t="n">
        <v>0</v>
      </c>
      <c r="D204" s="7">
        <f>SUMIF('Week1'!$A:$A,$A204,'Week1'!$D:$D)+SUMIF('Week2'!$A:$A,$A204,'Week2'!$D:$D)+SUMIF('Week3'!$A:$A,$A204,'Week3'!$D:$D)+SUMIF('Week4'!$A:$A,$A204,'Week4'!$D:$D)</f>
        <v/>
      </c>
      <c r="E204" s="7">
        <f>SUMIF('Week1'!$A:$A,$A204,'Week1'!$E:$E)+SUMIF('Week2'!$A:$A,$A204,'Week2'!$E:$E)+SUMIF('Week3'!$A:$A,$A204,'Week3'!$E:$E)+SUMIF('Week4'!$A:$A,$A204,'Week4'!$E:$E)</f>
        <v/>
      </c>
      <c r="F204" s="7">
        <f>SUMIF('Week1'!$A:$A,$A204,'Week1'!$F:$F)+SUMIF('Week2'!$A:$A,$A204,'Week2'!$F:$F)+SUMIF('Week3'!$A:$A,$A204,'Week3'!$F:$F)+SUMIF('Week4'!$A:$A,$A204,'Week4'!$F:$F)</f>
        <v/>
      </c>
      <c r="G204" s="7">
        <f>SUMIF('Week1'!$A:$A,$A204,'Week1'!$G:$G)+SUMIF('Week2'!$A:$A,$A204,'Week2'!$G:$G)+SUMIF('Week3'!$A:$A,$A204,'Week3'!$G:$G)+SUMIF('Week4'!$A:$A,$A204,'Week4'!$G:$G)</f>
        <v/>
      </c>
      <c r="H204" s="7">
        <f>SUMIF('Week1'!$A:$A,$A204,'Week1'!$H:$H)+SUMIF('Week2'!$A:$A,$A204,'Week2'!$H:$H)+SUMIF('Week3'!$A:$A,$A204,'Week3'!$H:$H)+SUMIF('Week4'!$A:$A,$A204,'Week4'!$H:$H)</f>
        <v/>
      </c>
    </row>
    <row r="205">
      <c r="A205" s="6" t="inlineStr">
        <is>
          <t>G GUNABHAI DEVANI</t>
        </is>
      </c>
      <c r="B205" s="6" t="inlineStr">
        <is>
          <t>PKNG HIGH_RISK</t>
        </is>
      </c>
      <c r="C205" s="7" t="n">
        <v>757</v>
      </c>
      <c r="D205" s="7">
        <f>SUMIF('Week1'!$A:$A,$A205,'Week1'!$D:$D)+SUMIF('Week2'!$A:$A,$A205,'Week2'!$D:$D)+SUMIF('Week3'!$A:$A,$A205,'Week3'!$D:$D)+SUMIF('Week4'!$A:$A,$A205,'Week4'!$D:$D)</f>
        <v/>
      </c>
      <c r="E205" s="7">
        <f>SUMIF('Week1'!$A:$A,$A205,'Week1'!$E:$E)+SUMIF('Week2'!$A:$A,$A205,'Week2'!$E:$E)+SUMIF('Week3'!$A:$A,$A205,'Week3'!$E:$E)+SUMIF('Week4'!$A:$A,$A205,'Week4'!$E:$E)</f>
        <v/>
      </c>
      <c r="F205" s="7">
        <f>SUMIF('Week1'!$A:$A,$A205,'Week1'!$F:$F)+SUMIF('Week2'!$A:$A,$A205,'Week2'!$F:$F)+SUMIF('Week3'!$A:$A,$A205,'Week3'!$F:$F)+SUMIF('Week4'!$A:$A,$A205,'Week4'!$F:$F)</f>
        <v/>
      </c>
      <c r="G205" s="7">
        <f>SUMIF('Week1'!$A:$A,$A205,'Week1'!$G:$G)+SUMIF('Week2'!$A:$A,$A205,'Week2'!$G:$G)+SUMIF('Week3'!$A:$A,$A205,'Week3'!$G:$G)+SUMIF('Week4'!$A:$A,$A205,'Week4'!$G:$G)</f>
        <v/>
      </c>
      <c r="H205" s="7">
        <f>SUMIF('Week1'!$A:$A,$A205,'Week1'!$H:$H)+SUMIF('Week2'!$A:$A,$A205,'Week2'!$H:$H)+SUMIF('Week3'!$A:$A,$A205,'Week3'!$H:$H)+SUMIF('Week4'!$A:$A,$A205,'Week4'!$H:$H)</f>
        <v/>
      </c>
    </row>
    <row r="206">
      <c r="A206" s="6" t="inlineStr">
        <is>
          <t>J KANJI</t>
        </is>
      </c>
      <c r="B206" s="6" t="inlineStr">
        <is>
          <t>PROD BELT</t>
        </is>
      </c>
      <c r="C206" s="7" t="n">
        <v>756</v>
      </c>
      <c r="D206" s="7">
        <f>SUMIF('Week1'!$A:$A,$A206,'Week1'!$D:$D)+SUMIF('Week2'!$A:$A,$A206,'Week2'!$D:$D)+SUMIF('Week3'!$A:$A,$A206,'Week3'!$D:$D)+SUMIF('Week4'!$A:$A,$A206,'Week4'!$D:$D)</f>
        <v/>
      </c>
      <c r="E206" s="7">
        <f>SUMIF('Week1'!$A:$A,$A206,'Week1'!$E:$E)+SUMIF('Week2'!$A:$A,$A206,'Week2'!$E:$E)+SUMIF('Week3'!$A:$A,$A206,'Week3'!$E:$E)+SUMIF('Week4'!$A:$A,$A206,'Week4'!$E:$E)</f>
        <v/>
      </c>
      <c r="F206" s="7">
        <f>SUMIF('Week1'!$A:$A,$A206,'Week1'!$F:$F)+SUMIF('Week2'!$A:$A,$A206,'Week2'!$F:$F)+SUMIF('Week3'!$A:$A,$A206,'Week3'!$F:$F)+SUMIF('Week4'!$A:$A,$A206,'Week4'!$F:$F)</f>
        <v/>
      </c>
      <c r="G206" s="7">
        <f>SUMIF('Week1'!$A:$A,$A206,'Week1'!$G:$G)+SUMIF('Week2'!$A:$A,$A206,'Week2'!$G:$G)+SUMIF('Week3'!$A:$A,$A206,'Week3'!$G:$G)+SUMIF('Week4'!$A:$A,$A206,'Week4'!$G:$G)</f>
        <v/>
      </c>
      <c r="H206" s="7">
        <f>SUMIF('Week1'!$A:$A,$A206,'Week1'!$H:$H)+SUMIF('Week2'!$A:$A,$A206,'Week2'!$H:$H)+SUMIF('Week3'!$A:$A,$A206,'Week3'!$H:$H)+SUMIF('Week4'!$A:$A,$A206,'Week4'!$H:$H)</f>
        <v/>
      </c>
    </row>
    <row r="207">
      <c r="A207" s="6" t="inlineStr">
        <is>
          <t>C MONIZ</t>
        </is>
      </c>
      <c r="B207" s="6" t="inlineStr">
        <is>
          <t>PROD FRYING</t>
        </is>
      </c>
      <c r="C207" s="7" t="n">
        <v>755</v>
      </c>
      <c r="D207" s="7">
        <f>SUMIF('Week1'!$A:$A,$A207,'Week1'!$D:$D)+SUMIF('Week2'!$A:$A,$A207,'Week2'!$D:$D)+SUMIF('Week3'!$A:$A,$A207,'Week3'!$D:$D)+SUMIF('Week4'!$A:$A,$A207,'Week4'!$D:$D)</f>
        <v/>
      </c>
      <c r="E207" s="7">
        <f>SUMIF('Week1'!$A:$A,$A207,'Week1'!$E:$E)+SUMIF('Week2'!$A:$A,$A207,'Week2'!$E:$E)+SUMIF('Week3'!$A:$A,$A207,'Week3'!$E:$E)+SUMIF('Week4'!$A:$A,$A207,'Week4'!$E:$E)</f>
        <v/>
      </c>
      <c r="F207" s="7">
        <f>SUMIF('Week1'!$A:$A,$A207,'Week1'!$F:$F)+SUMIF('Week2'!$A:$A,$A207,'Week2'!$F:$F)+SUMIF('Week3'!$A:$A,$A207,'Week3'!$F:$F)+SUMIF('Week4'!$A:$A,$A207,'Week4'!$F:$F)</f>
        <v/>
      </c>
      <c r="G207" s="7">
        <f>SUMIF('Week1'!$A:$A,$A207,'Week1'!$G:$G)+SUMIF('Week2'!$A:$A,$A207,'Week2'!$G:$G)+SUMIF('Week3'!$A:$A,$A207,'Week3'!$G:$G)+SUMIF('Week4'!$A:$A,$A207,'Week4'!$G:$G)</f>
        <v/>
      </c>
      <c r="H207" s="7">
        <f>SUMIF('Week1'!$A:$A,$A207,'Week1'!$H:$H)+SUMIF('Week2'!$A:$A,$A207,'Week2'!$H:$H)+SUMIF('Week3'!$A:$A,$A207,'Week3'!$H:$H)+SUMIF('Week4'!$A:$A,$A207,'Week4'!$H:$H)</f>
        <v/>
      </c>
    </row>
    <row r="208">
      <c r="A208" s="6" t="inlineStr">
        <is>
          <t>C JOSELINE BORGES EOLL</t>
        </is>
      </c>
      <c r="B208" s="6" t="inlineStr">
        <is>
          <t>A-EL TECHNICAL</t>
        </is>
      </c>
      <c r="C208" s="7" t="n">
        <v>0</v>
      </c>
      <c r="D208" s="7">
        <f>SUMIF('Week1'!$A:$A,$A208,'Week1'!$D:$D)+SUMIF('Week2'!$A:$A,$A208,'Week2'!$D:$D)+SUMIF('Week3'!$A:$A,$A208,'Week3'!$D:$D)+SUMIF('Week4'!$A:$A,$A208,'Week4'!$D:$D)</f>
        <v/>
      </c>
      <c r="E208" s="7">
        <f>SUMIF('Week1'!$A:$A,$A208,'Week1'!$E:$E)+SUMIF('Week2'!$A:$A,$A208,'Week2'!$E:$E)+SUMIF('Week3'!$A:$A,$A208,'Week3'!$E:$E)+SUMIF('Week4'!$A:$A,$A208,'Week4'!$E:$E)</f>
        <v/>
      </c>
      <c r="F208" s="7">
        <f>SUMIF('Week1'!$A:$A,$A208,'Week1'!$F:$F)+SUMIF('Week2'!$A:$A,$A208,'Week2'!$F:$F)+SUMIF('Week3'!$A:$A,$A208,'Week3'!$F:$F)+SUMIF('Week4'!$A:$A,$A208,'Week4'!$F:$F)</f>
        <v/>
      </c>
      <c r="G208" s="7">
        <f>SUMIF('Week1'!$A:$A,$A208,'Week1'!$G:$G)+SUMIF('Week2'!$A:$A,$A208,'Week2'!$G:$G)+SUMIF('Week3'!$A:$A,$A208,'Week3'!$G:$G)+SUMIF('Week4'!$A:$A,$A208,'Week4'!$G:$G)</f>
        <v/>
      </c>
      <c r="H208" s="7">
        <f>SUMIF('Week1'!$A:$A,$A208,'Week1'!$H:$H)+SUMIF('Week2'!$A:$A,$A208,'Week2'!$H:$H)+SUMIF('Week3'!$A:$A,$A208,'Week3'!$H:$H)+SUMIF('Week4'!$A:$A,$A208,'Week4'!$H:$H)</f>
        <v/>
      </c>
    </row>
    <row r="209">
      <c r="A209" s="6" t="inlineStr">
        <is>
          <t>A SHASHIKANTBHAI DABGAR EOLL</t>
        </is>
      </c>
      <c r="B209" s="6" t="inlineStr">
        <is>
          <t>A-EL WRHS</t>
        </is>
      </c>
      <c r="C209" s="7" t="n">
        <v>0</v>
      </c>
      <c r="D209" s="7">
        <f>SUMIF('Week1'!$A:$A,$A209,'Week1'!$D:$D)+SUMIF('Week2'!$A:$A,$A209,'Week2'!$D:$D)+SUMIF('Week3'!$A:$A,$A209,'Week3'!$D:$D)+SUMIF('Week4'!$A:$A,$A209,'Week4'!$D:$D)</f>
        <v/>
      </c>
      <c r="E209" s="7">
        <f>SUMIF('Week1'!$A:$A,$A209,'Week1'!$E:$E)+SUMIF('Week2'!$A:$A,$A209,'Week2'!$E:$E)+SUMIF('Week3'!$A:$A,$A209,'Week3'!$E:$E)+SUMIF('Week4'!$A:$A,$A209,'Week4'!$E:$E)</f>
        <v/>
      </c>
      <c r="F209" s="7">
        <f>SUMIF('Week1'!$A:$A,$A209,'Week1'!$F:$F)+SUMIF('Week2'!$A:$A,$A209,'Week2'!$F:$F)+SUMIF('Week3'!$A:$A,$A209,'Week3'!$F:$F)+SUMIF('Week4'!$A:$A,$A209,'Week4'!$F:$F)</f>
        <v/>
      </c>
      <c r="G209" s="7">
        <f>SUMIF('Week1'!$A:$A,$A209,'Week1'!$G:$G)+SUMIF('Week2'!$A:$A,$A209,'Week2'!$G:$G)+SUMIF('Week3'!$A:$A,$A209,'Week3'!$G:$G)+SUMIF('Week4'!$A:$A,$A209,'Week4'!$G:$G)</f>
        <v/>
      </c>
      <c r="H209" s="7">
        <f>SUMIF('Week1'!$A:$A,$A209,'Week1'!$H:$H)+SUMIF('Week2'!$A:$A,$A209,'Week2'!$H:$H)+SUMIF('Week3'!$A:$A,$A209,'Week3'!$H:$H)+SUMIF('Week4'!$A:$A,$A209,'Week4'!$H:$H)</f>
        <v/>
      </c>
    </row>
    <row r="210">
      <c r="A210" s="6" t="inlineStr">
        <is>
          <t>L BUZOIANA RESPONSE</t>
        </is>
      </c>
      <c r="B210" s="6" t="inlineStr">
        <is>
          <t>A-RS PKNG SLEEVING</t>
        </is>
      </c>
      <c r="C210" s="7" t="n">
        <v>0</v>
      </c>
      <c r="D210" s="7">
        <f>SUMIF('Week1'!$A:$A,$A210,'Week1'!$D:$D)+SUMIF('Week2'!$A:$A,$A210,'Week2'!$D:$D)+SUMIF('Week3'!$A:$A,$A210,'Week3'!$D:$D)+SUMIF('Week4'!$A:$A,$A210,'Week4'!$D:$D)</f>
        <v/>
      </c>
      <c r="E210" s="7">
        <f>SUMIF('Week1'!$A:$A,$A210,'Week1'!$E:$E)+SUMIF('Week2'!$A:$A,$A210,'Week2'!$E:$E)+SUMIF('Week3'!$A:$A,$A210,'Week3'!$E:$E)+SUMIF('Week4'!$A:$A,$A210,'Week4'!$E:$E)</f>
        <v/>
      </c>
      <c r="F210" s="7">
        <f>SUMIF('Week1'!$A:$A,$A210,'Week1'!$F:$F)+SUMIF('Week2'!$A:$A,$A210,'Week2'!$F:$F)+SUMIF('Week3'!$A:$A,$A210,'Week3'!$F:$F)+SUMIF('Week4'!$A:$A,$A210,'Week4'!$F:$F)</f>
        <v/>
      </c>
      <c r="G210" s="7">
        <f>SUMIF('Week1'!$A:$A,$A210,'Week1'!$G:$G)+SUMIF('Week2'!$A:$A,$A210,'Week2'!$G:$G)+SUMIF('Week3'!$A:$A,$A210,'Week3'!$G:$G)+SUMIF('Week4'!$A:$A,$A210,'Week4'!$G:$G)</f>
        <v/>
      </c>
      <c r="H210" s="7">
        <f>SUMIF('Week1'!$A:$A,$A210,'Week1'!$H:$H)+SUMIF('Week2'!$A:$A,$A210,'Week2'!$H:$H)+SUMIF('Week3'!$A:$A,$A210,'Week3'!$H:$H)+SUMIF('Week4'!$A:$A,$A210,'Week4'!$H:$H)</f>
        <v/>
      </c>
    </row>
    <row r="211">
      <c r="A211" s="6" t="inlineStr">
        <is>
          <t>A VALACU RESPONSE</t>
        </is>
      </c>
      <c r="B211" s="6" t="inlineStr">
        <is>
          <t>A-RS PKNG SLEEVING</t>
        </is>
      </c>
      <c r="C211" s="7" t="n">
        <v>0</v>
      </c>
      <c r="D211" s="7">
        <f>SUMIF('Week1'!$A:$A,$A211,'Week1'!$D:$D)+SUMIF('Week2'!$A:$A,$A211,'Week2'!$D:$D)+SUMIF('Week3'!$A:$A,$A211,'Week3'!$D:$D)+SUMIF('Week4'!$A:$A,$A211,'Week4'!$D:$D)</f>
        <v/>
      </c>
      <c r="E211" s="7">
        <f>SUMIF('Week1'!$A:$A,$A211,'Week1'!$E:$E)+SUMIF('Week2'!$A:$A,$A211,'Week2'!$E:$E)+SUMIF('Week3'!$A:$A,$A211,'Week3'!$E:$E)+SUMIF('Week4'!$A:$A,$A211,'Week4'!$E:$E)</f>
        <v/>
      </c>
      <c r="F211" s="7">
        <f>SUMIF('Week1'!$A:$A,$A211,'Week1'!$F:$F)+SUMIF('Week2'!$A:$A,$A211,'Week2'!$F:$F)+SUMIF('Week3'!$A:$A,$A211,'Week3'!$F:$F)+SUMIF('Week4'!$A:$A,$A211,'Week4'!$F:$F)</f>
        <v/>
      </c>
      <c r="G211" s="7">
        <f>SUMIF('Week1'!$A:$A,$A211,'Week1'!$G:$G)+SUMIF('Week2'!$A:$A,$A211,'Week2'!$G:$G)+SUMIF('Week3'!$A:$A,$A211,'Week3'!$G:$G)+SUMIF('Week4'!$A:$A,$A211,'Week4'!$G:$G)</f>
        <v/>
      </c>
      <c r="H211" s="7">
        <f>SUMIF('Week1'!$A:$A,$A211,'Week1'!$H:$H)+SUMIF('Week2'!$A:$A,$A211,'Week2'!$H:$H)+SUMIF('Week3'!$A:$A,$A211,'Week3'!$H:$H)+SUMIF('Week4'!$A:$A,$A211,'Week4'!$H:$H)</f>
        <v/>
      </c>
    </row>
    <row r="213">
      <c r="A213" s="3" t="inlineStr">
        <is>
          <t>Category totals (month)</t>
        </is>
      </c>
    </row>
    <row r="214">
      <c r="A214" s="4" t="inlineStr">
        <is>
          <t>Sum of hours by work category — calculated with SUMIFS from the employee table above.</t>
        </is>
      </c>
    </row>
    <row r="215">
      <c r="A215" s="5" t="n"/>
      <c r="B215" s="5" t="inlineStr">
        <is>
          <t>Category</t>
        </is>
      </c>
      <c r="C215" s="5" t="n"/>
      <c r="D215" s="5" t="inlineStr">
        <is>
          <t>Basic hours</t>
        </is>
      </c>
      <c r="E215" s="5" t="inlineStr">
        <is>
          <t>Mon–Fri overtime</t>
        </is>
      </c>
      <c r="F215" s="5" t="inlineStr">
        <is>
          <t>Sat/Sun overtime</t>
        </is>
      </c>
      <c r="G215" s="5" t="inlineStr">
        <is>
          <t>Annual holiday</t>
        </is>
      </c>
      <c r="H215" s="5" t="inlineStr">
        <is>
          <t>Total paid hours</t>
        </is>
      </c>
    </row>
    <row r="216">
      <c r="A216" s="6" t="n"/>
      <c r="B216" s="6" t="inlineStr">
        <is>
          <t>CLNR</t>
        </is>
      </c>
      <c r="C216" s="6" t="n"/>
      <c r="D216" s="7">
        <f>SUMIFS($D$7:$D$211,$B$7:$B$211,$B216)</f>
        <v/>
      </c>
      <c r="E216" s="7">
        <f>SUMIFS($E$7:$E$211,$B$7:$B$211,$B216)</f>
        <v/>
      </c>
      <c r="F216" s="7">
        <f>SUMIFS($F$7:$F$211,$B$7:$B$211,$B216)</f>
        <v/>
      </c>
      <c r="G216" s="7">
        <f>SUMIFS($G$7:$G$211,$B$7:$B$211,$B216)</f>
        <v/>
      </c>
      <c r="H216" s="7">
        <f>SUMIFS($H$7:$H$211,$B$7:$B$211,$B216)</f>
        <v/>
      </c>
    </row>
    <row r="217">
      <c r="A217" s="6" t="n"/>
      <c r="B217" s="6" t="inlineStr">
        <is>
          <t>DPCH</t>
        </is>
      </c>
      <c r="C217" s="6" t="n"/>
      <c r="D217" s="7">
        <f>SUMIFS($D$7:$D$211,$B$7:$B$211,$B217)</f>
        <v/>
      </c>
      <c r="E217" s="7">
        <f>SUMIFS($E$7:$E$211,$B$7:$B$211,$B217)</f>
        <v/>
      </c>
      <c r="F217" s="7">
        <f>SUMIFS($F$7:$F$211,$B$7:$B$211,$B217)</f>
        <v/>
      </c>
      <c r="G217" s="7">
        <f>SUMIFS($G$7:$G$211,$B$7:$B$211,$B217)</f>
        <v/>
      </c>
      <c r="H217" s="7">
        <f>SUMIFS($H$7:$H$211,$B$7:$B$211,$B217)</f>
        <v/>
      </c>
    </row>
    <row r="218">
      <c r="A218" s="6" t="n"/>
      <c r="B218" s="6" t="inlineStr">
        <is>
          <t>OFCE</t>
        </is>
      </c>
      <c r="C218" s="6" t="n"/>
      <c r="D218" s="7">
        <f>SUMIFS($D$7:$D$211,$B$7:$B$211,$B218)</f>
        <v/>
      </c>
      <c r="E218" s="7">
        <f>SUMIFS($E$7:$E$211,$B$7:$B$211,$B218)</f>
        <v/>
      </c>
      <c r="F218" s="7">
        <f>SUMIFS($F$7:$F$211,$B$7:$B$211,$B218)</f>
        <v/>
      </c>
      <c r="G218" s="7">
        <f>SUMIFS($G$7:$G$211,$B$7:$B$211,$B218)</f>
        <v/>
      </c>
      <c r="H218" s="7">
        <f>SUMIFS($H$7:$H$211,$B$7:$B$211,$B218)</f>
        <v/>
      </c>
    </row>
    <row r="219">
      <c r="A219" s="6" t="n"/>
      <c r="B219" s="6" t="inlineStr">
        <is>
          <t>PKNG HIGH_RISK</t>
        </is>
      </c>
      <c r="C219" s="6" t="n"/>
      <c r="D219" s="7">
        <f>SUMIFS($D$7:$D$211,$B$7:$B$211,$B219)</f>
        <v/>
      </c>
      <c r="E219" s="7">
        <f>SUMIFS($E$7:$E$211,$B$7:$B$211,$B219)</f>
        <v/>
      </c>
      <c r="F219" s="7">
        <f>SUMIFS($F$7:$F$211,$B$7:$B$211,$B219)</f>
        <v/>
      </c>
      <c r="G219" s="7">
        <f>SUMIFS($G$7:$G$211,$B$7:$B$211,$B219)</f>
        <v/>
      </c>
      <c r="H219" s="7">
        <f>SUMIFS($H$7:$H$211,$B$7:$B$211,$B219)</f>
        <v/>
      </c>
    </row>
    <row r="220">
      <c r="A220" s="6" t="n"/>
      <c r="B220" s="6" t="inlineStr">
        <is>
          <t>PKNG SLEEVING</t>
        </is>
      </c>
      <c r="C220" s="6" t="n"/>
      <c r="D220" s="7">
        <f>SUMIFS($D$7:$D$211,$B$7:$B$211,$B220)</f>
        <v/>
      </c>
      <c r="E220" s="7">
        <f>SUMIFS($E$7:$E$211,$B$7:$B$211,$B220)</f>
        <v/>
      </c>
      <c r="F220" s="7">
        <f>SUMIFS($F$7:$F$211,$B$7:$B$211,$B220)</f>
        <v/>
      </c>
      <c r="G220" s="7">
        <f>SUMIFS($G$7:$G$211,$B$7:$B$211,$B220)</f>
        <v/>
      </c>
      <c r="H220" s="7">
        <f>SUMIFS($H$7:$H$211,$B$7:$B$211,$B220)</f>
        <v/>
      </c>
    </row>
    <row r="221">
      <c r="A221" s="6" t="n"/>
      <c r="B221" s="6" t="inlineStr">
        <is>
          <t>PROD BELT</t>
        </is>
      </c>
      <c r="C221" s="6" t="n"/>
      <c r="D221" s="7">
        <f>SUMIFS($D$7:$D$211,$B$7:$B$211,$B221)</f>
        <v/>
      </c>
      <c r="E221" s="7">
        <f>SUMIFS($E$7:$E$211,$B$7:$B$211,$B221)</f>
        <v/>
      </c>
      <c r="F221" s="7">
        <f>SUMIFS($F$7:$F$211,$B$7:$B$211,$B221)</f>
        <v/>
      </c>
      <c r="G221" s="7">
        <f>SUMIFS($G$7:$G$211,$B$7:$B$211,$B221)</f>
        <v/>
      </c>
      <c r="H221" s="7">
        <f>SUMIFS($H$7:$H$211,$B$7:$B$211,$B221)</f>
        <v/>
      </c>
    </row>
    <row r="222">
      <c r="A222" s="6" t="n"/>
      <c r="B222" s="6" t="inlineStr">
        <is>
          <t>PROD FORMING</t>
        </is>
      </c>
      <c r="C222" s="6" t="n"/>
      <c r="D222" s="7">
        <f>SUMIFS($D$7:$D$211,$B$7:$B$211,$B222)</f>
        <v/>
      </c>
      <c r="E222" s="7">
        <f>SUMIFS($E$7:$E$211,$B$7:$B$211,$B222)</f>
        <v/>
      </c>
      <c r="F222" s="7">
        <f>SUMIFS($F$7:$F$211,$B$7:$B$211,$B222)</f>
        <v/>
      </c>
      <c r="G222" s="7">
        <f>SUMIFS($G$7:$G$211,$B$7:$B$211,$B222)</f>
        <v/>
      </c>
      <c r="H222" s="7">
        <f>SUMIFS($H$7:$H$211,$B$7:$B$211,$B222)</f>
        <v/>
      </c>
    </row>
    <row r="223">
      <c r="A223" s="6" t="n"/>
      <c r="B223" s="6" t="inlineStr">
        <is>
          <t>PROD FRYING</t>
        </is>
      </c>
      <c r="C223" s="6" t="n"/>
      <c r="D223" s="7">
        <f>SUMIFS($D$7:$D$211,$B$7:$B$211,$B223)</f>
        <v/>
      </c>
      <c r="E223" s="7">
        <f>SUMIFS($E$7:$E$211,$B$7:$B$211,$B223)</f>
        <v/>
      </c>
      <c r="F223" s="7">
        <f>SUMIFS($F$7:$F$211,$B$7:$B$211,$B223)</f>
        <v/>
      </c>
      <c r="G223" s="7">
        <f>SUMIFS($G$7:$G$211,$B$7:$B$211,$B223)</f>
        <v/>
      </c>
      <c r="H223" s="7">
        <f>SUMIFS($H$7:$H$211,$B$7:$B$211,$B223)</f>
        <v/>
      </c>
    </row>
    <row r="224">
      <c r="A224" s="6" t="n"/>
      <c r="B224" s="6" t="inlineStr">
        <is>
          <t>PROD PREPARATION</t>
        </is>
      </c>
      <c r="C224" s="6" t="n"/>
      <c r="D224" s="7">
        <f>SUMIFS($D$7:$D$211,$B$7:$B$211,$B224)</f>
        <v/>
      </c>
      <c r="E224" s="7">
        <f>SUMIFS($E$7:$E$211,$B$7:$B$211,$B224)</f>
        <v/>
      </c>
      <c r="F224" s="7">
        <f>SUMIFS($F$7:$F$211,$B$7:$B$211,$B224)</f>
        <v/>
      </c>
      <c r="G224" s="7">
        <f>SUMIFS($G$7:$G$211,$B$7:$B$211,$B224)</f>
        <v/>
      </c>
      <c r="H224" s="7">
        <f>SUMIFS($H$7:$H$211,$B$7:$B$211,$B224)</f>
        <v/>
      </c>
    </row>
    <row r="225">
      <c r="A225" s="6" t="n"/>
      <c r="B225" s="6" t="inlineStr">
        <is>
          <t>PROD TABLE</t>
        </is>
      </c>
      <c r="C225" s="6" t="n"/>
      <c r="D225" s="7">
        <f>SUMIFS($D$7:$D$211,$B$7:$B$211,$B225)</f>
        <v/>
      </c>
      <c r="E225" s="7">
        <f>SUMIFS($E$7:$E$211,$B$7:$B$211,$B225)</f>
        <v/>
      </c>
      <c r="F225" s="7">
        <f>SUMIFS($F$7:$F$211,$B$7:$B$211,$B225)</f>
        <v/>
      </c>
      <c r="G225" s="7">
        <f>SUMIFS($G$7:$G$211,$B$7:$B$211,$B225)</f>
        <v/>
      </c>
      <c r="H225" s="7">
        <f>SUMIFS($H$7:$H$211,$B$7:$B$211,$B225)</f>
        <v/>
      </c>
    </row>
    <row r="226">
      <c r="A226" s="6" t="n"/>
      <c r="B226" s="6" t="inlineStr">
        <is>
          <t>TECH TECHNICAL</t>
        </is>
      </c>
      <c r="C226" s="6" t="n"/>
      <c r="D226" s="7">
        <f>SUMIFS($D$7:$D$211,$B$7:$B$211,$B226)</f>
        <v/>
      </c>
      <c r="E226" s="7">
        <f>SUMIFS($E$7:$E$211,$B$7:$B$211,$B226)</f>
        <v/>
      </c>
      <c r="F226" s="7">
        <f>SUMIFS($F$7:$F$211,$B$7:$B$211,$B226)</f>
        <v/>
      </c>
      <c r="G226" s="7">
        <f>SUMIFS($G$7:$G$211,$B$7:$B$211,$B226)</f>
        <v/>
      </c>
      <c r="H226" s="7">
        <f>SUMIFS($H$7:$H$211,$B$7:$B$211,$B226)</f>
        <v/>
      </c>
    </row>
    <row r="227">
      <c r="A227" s="6" t="n"/>
      <c r="B227" s="6" t="inlineStr">
        <is>
          <t>WRHS</t>
        </is>
      </c>
      <c r="C227" s="6" t="n"/>
      <c r="D227" s="7">
        <f>SUMIFS($D$7:$D$211,$B$7:$B$211,$B227)</f>
        <v/>
      </c>
      <c r="E227" s="7">
        <f>SUMIFS($E$7:$E$211,$B$7:$B$211,$B227)</f>
        <v/>
      </c>
      <c r="F227" s="7">
        <f>SUMIFS($F$7:$F$211,$B$7:$B$211,$B227)</f>
        <v/>
      </c>
      <c r="G227" s="7">
        <f>SUMIFS($G$7:$G$211,$B$7:$B$211,$B227)</f>
        <v/>
      </c>
      <c r="H227" s="7">
        <f>SUMIFS($H$7:$H$211,$B$7:$B$211,$B227)</f>
        <v/>
      </c>
    </row>
    <row r="228">
      <c r="A228" s="6" t="n"/>
      <c r="B228" s="6" t="inlineStr">
        <is>
          <t>A-EL CLNR</t>
        </is>
      </c>
      <c r="C228" s="6" t="n"/>
      <c r="D228" s="7">
        <f>SUMIFS($D$7:$D$211,$B$7:$B$211,$B228)</f>
        <v/>
      </c>
      <c r="E228" s="7">
        <f>SUMIFS($E$7:$E$211,$B$7:$B$211,$B228)</f>
        <v/>
      </c>
      <c r="F228" s="7">
        <f>SUMIFS($F$7:$F$211,$B$7:$B$211,$B228)</f>
        <v/>
      </c>
      <c r="G228" s="7">
        <f>SUMIFS($G$7:$G$211,$B$7:$B$211,$B228)</f>
        <v/>
      </c>
      <c r="H228" s="7">
        <f>SUMIFS($H$7:$H$211,$B$7:$B$211,$B228)</f>
        <v/>
      </c>
    </row>
    <row r="229">
      <c r="A229" s="6" t="n"/>
      <c r="B229" s="6" t="inlineStr">
        <is>
          <t>A-EL DPCH</t>
        </is>
      </c>
      <c r="C229" s="6" t="n"/>
      <c r="D229" s="7">
        <f>SUMIFS($D$7:$D$211,$B$7:$B$211,$B229)</f>
        <v/>
      </c>
      <c r="E229" s="7">
        <f>SUMIFS($E$7:$E$211,$B$7:$B$211,$B229)</f>
        <v/>
      </c>
      <c r="F229" s="7">
        <f>SUMIFS($F$7:$F$211,$B$7:$B$211,$B229)</f>
        <v/>
      </c>
      <c r="G229" s="7">
        <f>SUMIFS($G$7:$G$211,$B$7:$B$211,$B229)</f>
        <v/>
      </c>
      <c r="H229" s="7">
        <f>SUMIFS($H$7:$H$211,$B$7:$B$211,$B229)</f>
        <v/>
      </c>
    </row>
    <row r="230">
      <c r="A230" s="6" t="n"/>
      <c r="B230" s="6" t="inlineStr">
        <is>
          <t>A-EL PKNG HIGH_RISK</t>
        </is>
      </c>
      <c r="C230" s="6" t="n"/>
      <c r="D230" s="7">
        <f>SUMIFS($D$7:$D$211,$B$7:$B$211,$B230)</f>
        <v/>
      </c>
      <c r="E230" s="7">
        <f>SUMIFS($E$7:$E$211,$B$7:$B$211,$B230)</f>
        <v/>
      </c>
      <c r="F230" s="7">
        <f>SUMIFS($F$7:$F$211,$B$7:$B$211,$B230)</f>
        <v/>
      </c>
      <c r="G230" s="7">
        <f>SUMIFS($G$7:$G$211,$B$7:$B$211,$B230)</f>
        <v/>
      </c>
      <c r="H230" s="7">
        <f>SUMIFS($H$7:$H$211,$B$7:$B$211,$B230)</f>
        <v/>
      </c>
    </row>
    <row r="231">
      <c r="A231" s="6" t="n"/>
      <c r="B231" s="6" t="inlineStr">
        <is>
          <t>A-EL PKNG SLEEVING</t>
        </is>
      </c>
      <c r="C231" s="6" t="n"/>
      <c r="D231" s="7">
        <f>SUMIFS($D$7:$D$211,$B$7:$B$211,$B231)</f>
        <v/>
      </c>
      <c r="E231" s="7">
        <f>SUMIFS($E$7:$E$211,$B$7:$B$211,$B231)</f>
        <v/>
      </c>
      <c r="F231" s="7">
        <f>SUMIFS($F$7:$F$211,$B$7:$B$211,$B231)</f>
        <v/>
      </c>
      <c r="G231" s="7">
        <f>SUMIFS($G$7:$G$211,$B$7:$B$211,$B231)</f>
        <v/>
      </c>
      <c r="H231" s="7">
        <f>SUMIFS($H$7:$H$211,$B$7:$B$211,$B231)</f>
        <v/>
      </c>
    </row>
    <row r="232">
      <c r="A232" s="6" t="n"/>
      <c r="B232" s="6" t="inlineStr">
        <is>
          <t>A-EL PROD BELT</t>
        </is>
      </c>
      <c r="C232" s="6" t="n"/>
      <c r="D232" s="7">
        <f>SUMIFS($D$7:$D$211,$B$7:$B$211,$B232)</f>
        <v/>
      </c>
      <c r="E232" s="7">
        <f>SUMIFS($E$7:$E$211,$B$7:$B$211,$B232)</f>
        <v/>
      </c>
      <c r="F232" s="7">
        <f>SUMIFS($F$7:$F$211,$B$7:$B$211,$B232)</f>
        <v/>
      </c>
      <c r="G232" s="7">
        <f>SUMIFS($G$7:$G$211,$B$7:$B$211,$B232)</f>
        <v/>
      </c>
      <c r="H232" s="7">
        <f>SUMIFS($H$7:$H$211,$B$7:$B$211,$B232)</f>
        <v/>
      </c>
    </row>
    <row r="233">
      <c r="A233" s="6" t="n"/>
      <c r="B233" s="6" t="inlineStr">
        <is>
          <t>A-EL PROD FORMING</t>
        </is>
      </c>
      <c r="C233" s="6" t="n"/>
      <c r="D233" s="7">
        <f>SUMIFS($D$7:$D$211,$B$7:$B$211,$B233)</f>
        <v/>
      </c>
      <c r="E233" s="7">
        <f>SUMIFS($E$7:$E$211,$B$7:$B$211,$B233)</f>
        <v/>
      </c>
      <c r="F233" s="7">
        <f>SUMIFS($F$7:$F$211,$B$7:$B$211,$B233)</f>
        <v/>
      </c>
      <c r="G233" s="7">
        <f>SUMIFS($G$7:$G$211,$B$7:$B$211,$B233)</f>
        <v/>
      </c>
      <c r="H233" s="7">
        <f>SUMIFS($H$7:$H$211,$B$7:$B$211,$B233)</f>
        <v/>
      </c>
    </row>
    <row r="234">
      <c r="A234" s="6" t="n"/>
      <c r="B234" s="6" t="inlineStr">
        <is>
          <t>A-EL PROD FRYING</t>
        </is>
      </c>
      <c r="C234" s="6" t="n"/>
      <c r="D234" s="7">
        <f>SUMIFS($D$7:$D$211,$B$7:$B$211,$B234)</f>
        <v/>
      </c>
      <c r="E234" s="7">
        <f>SUMIFS($E$7:$E$211,$B$7:$B$211,$B234)</f>
        <v/>
      </c>
      <c r="F234" s="7">
        <f>SUMIFS($F$7:$F$211,$B$7:$B$211,$B234)</f>
        <v/>
      </c>
      <c r="G234" s="7">
        <f>SUMIFS($G$7:$G$211,$B$7:$B$211,$B234)</f>
        <v/>
      </c>
      <c r="H234" s="7">
        <f>SUMIFS($H$7:$H$211,$B$7:$B$211,$B234)</f>
        <v/>
      </c>
    </row>
    <row r="235">
      <c r="A235" s="6" t="n"/>
      <c r="B235" s="6" t="inlineStr">
        <is>
          <t>A-EL PROD PREPARATION</t>
        </is>
      </c>
      <c r="C235" s="6" t="n"/>
      <c r="D235" s="7">
        <f>SUMIFS($D$7:$D$211,$B$7:$B$211,$B235)</f>
        <v/>
      </c>
      <c r="E235" s="7">
        <f>SUMIFS($E$7:$E$211,$B$7:$B$211,$B235)</f>
        <v/>
      </c>
      <c r="F235" s="7">
        <f>SUMIFS($F$7:$F$211,$B$7:$B$211,$B235)</f>
        <v/>
      </c>
      <c r="G235" s="7">
        <f>SUMIFS($G$7:$G$211,$B$7:$B$211,$B235)</f>
        <v/>
      </c>
      <c r="H235" s="7">
        <f>SUMIFS($H$7:$H$211,$B$7:$B$211,$B235)</f>
        <v/>
      </c>
    </row>
    <row r="236">
      <c r="A236" s="6" t="n"/>
      <c r="B236" s="6" t="inlineStr">
        <is>
          <t>A-EL TECHNICAL</t>
        </is>
      </c>
      <c r="C236" s="6" t="n"/>
      <c r="D236" s="7">
        <f>SUMIFS($D$7:$D$211,$B$7:$B$211,$B236)</f>
        <v/>
      </c>
      <c r="E236" s="7">
        <f>SUMIFS($E$7:$E$211,$B$7:$B$211,$B236)</f>
        <v/>
      </c>
      <c r="F236" s="7">
        <f>SUMIFS($F$7:$F$211,$B$7:$B$211,$B236)</f>
        <v/>
      </c>
      <c r="G236" s="7">
        <f>SUMIFS($G$7:$G$211,$B$7:$B$211,$B236)</f>
        <v/>
      </c>
      <c r="H236" s="7">
        <f>SUMIFS($H$7:$H$211,$B$7:$B$211,$B236)</f>
        <v/>
      </c>
    </row>
    <row r="237">
      <c r="A237" s="6" t="n"/>
      <c r="B237" s="6" t="inlineStr">
        <is>
          <t>A-PM PKNG HIGH_RISK</t>
        </is>
      </c>
      <c r="C237" s="6" t="n"/>
      <c r="D237" s="7">
        <f>SUMIFS($D$7:$D$211,$B$7:$B$211,$B237)</f>
        <v/>
      </c>
      <c r="E237" s="7">
        <f>SUMIFS($E$7:$E$211,$B$7:$B$211,$B237)</f>
        <v/>
      </c>
      <c r="F237" s="7">
        <f>SUMIFS($F$7:$F$211,$B$7:$B$211,$B237)</f>
        <v/>
      </c>
      <c r="G237" s="7">
        <f>SUMIFS($G$7:$G$211,$B$7:$B$211,$B237)</f>
        <v/>
      </c>
      <c r="H237" s="7">
        <f>SUMIFS($H$7:$H$211,$B$7:$B$211,$B237)</f>
        <v/>
      </c>
    </row>
    <row r="238">
      <c r="A238" s="6" t="n"/>
      <c r="B238" s="6" t="inlineStr">
        <is>
          <t>A-RS PKNG SLEEVING</t>
        </is>
      </c>
      <c r="C238" s="6" t="n"/>
      <c r="D238" s="7">
        <f>SUMIFS($D$7:$D$211,$B$7:$B$211,$B238)</f>
        <v/>
      </c>
      <c r="E238" s="7">
        <f>SUMIFS($E$7:$E$211,$B$7:$B$211,$B238)</f>
        <v/>
      </c>
      <c r="F238" s="7">
        <f>SUMIFS($F$7:$F$211,$B$7:$B$211,$B238)</f>
        <v/>
      </c>
      <c r="G238" s="7">
        <f>SUMIFS($G$7:$G$211,$B$7:$B$211,$B238)</f>
        <v/>
      </c>
      <c r="H238" s="7">
        <f>SUMIFS($H$7:$H$211,$B$7:$B$211,$B238)</f>
        <v/>
      </c>
    </row>
    <row r="239">
      <c r="A239" s="6" t="n"/>
      <c r="B239" s="6" t="inlineStr">
        <is>
          <t>A-RS PROD BELT</t>
        </is>
      </c>
      <c r="C239" s="6" t="n"/>
      <c r="D239" s="7">
        <f>SUMIFS($D$7:$D$211,$B$7:$B$211,$B239)</f>
        <v/>
      </c>
      <c r="E239" s="7">
        <f>SUMIFS($E$7:$E$211,$B$7:$B$211,$B239)</f>
        <v/>
      </c>
      <c r="F239" s="7">
        <f>SUMIFS($F$7:$F$211,$B$7:$B$211,$B239)</f>
        <v/>
      </c>
      <c r="G239" s="7">
        <f>SUMIFS($G$7:$G$211,$B$7:$B$211,$B239)</f>
        <v/>
      </c>
      <c r="H239" s="7">
        <f>SUMIFS($H$7:$H$211,$B$7:$B$211,$B239)</f>
        <v/>
      </c>
    </row>
    <row r="240">
      <c r="A240" s="6" t="n"/>
      <c r="B240" s="6" t="inlineStr">
        <is>
          <t>A-RS PROD FRYING</t>
        </is>
      </c>
      <c r="C240" s="6" t="n"/>
      <c r="D240" s="7">
        <f>SUMIFS($D$7:$D$211,$B$7:$B$211,$B240)</f>
        <v/>
      </c>
      <c r="E240" s="7">
        <f>SUMIFS($E$7:$E$211,$B$7:$B$211,$B240)</f>
        <v/>
      </c>
      <c r="F240" s="7">
        <f>SUMIFS($F$7:$F$211,$B$7:$B$211,$B240)</f>
        <v/>
      </c>
      <c r="G240" s="7">
        <f>SUMIFS($G$7:$G$211,$B$7:$B$211,$B240)</f>
        <v/>
      </c>
      <c r="H240" s="7">
        <f>SUMIFS($H$7:$H$211,$B$7:$B$211,$B240)</f>
        <v/>
      </c>
    </row>
    <row r="241">
      <c r="A241" s="6" t="n"/>
      <c r="B241" s="6" t="inlineStr">
        <is>
          <t>A-EL WRHS</t>
        </is>
      </c>
      <c r="C241" s="6" t="n"/>
      <c r="D241" s="7">
        <f>SUMIFS($D$7:$D$211,$B$7:$B$211,$B241)</f>
        <v/>
      </c>
      <c r="E241" s="7">
        <f>SUMIFS($E$7:$E$211,$B$7:$B$211,$B241)</f>
        <v/>
      </c>
      <c r="F241" s="7">
        <f>SUMIFS($F$7:$F$211,$B$7:$B$211,$B241)</f>
        <v/>
      </c>
      <c r="G241" s="7">
        <f>SUMIFS($G$7:$G$211,$B$7:$B$211,$B241)</f>
        <v/>
      </c>
      <c r="H241" s="7">
        <f>SUMIFS($H$7:$H$211,$B$7:$B$211,$B241)</f>
        <v/>
      </c>
    </row>
    <row r="243">
      <c r="A243" s="3" t="inlineStr">
        <is>
          <t>Grouped totals (month)</t>
        </is>
      </c>
    </row>
    <row r="244">
      <c r="A244" s="4" t="inlineStr">
        <is>
          <t>Categories rolled up to 4-character groups across all weeks.</t>
        </is>
      </c>
    </row>
    <row r="245">
      <c r="A245" s="5" t="n"/>
      <c r="B245" s="5" t="inlineStr">
        <is>
          <t>Category</t>
        </is>
      </c>
      <c r="C245" s="5" t="n"/>
      <c r="D245" s="5" t="inlineStr">
        <is>
          <t>Basic hours</t>
        </is>
      </c>
      <c r="E245" s="5" t="inlineStr">
        <is>
          <t>Mon–Fri overtime</t>
        </is>
      </c>
      <c r="F245" s="5" t="inlineStr">
        <is>
          <t>Sat/Sun overtime</t>
        </is>
      </c>
      <c r="G245" s="5" t="inlineStr">
        <is>
          <t>Annual holiday</t>
        </is>
      </c>
      <c r="H245" s="5" t="inlineStr">
        <is>
          <t>Total paid hours</t>
        </is>
      </c>
    </row>
    <row r="246">
      <c r="A246" s="6" t="n"/>
      <c r="B246" s="6" t="inlineStr">
        <is>
          <t>A-EL CLNR</t>
        </is>
      </c>
      <c r="C246" s="6" t="n"/>
      <c r="D246" s="7" t="n">
        <v>876</v>
      </c>
      <c r="E246" s="7" t="n">
        <v>49.75</v>
      </c>
      <c r="F246" s="7" t="n">
        <v>10.75</v>
      </c>
      <c r="G246" s="7" t="n">
        <v>0</v>
      </c>
      <c r="H246" s="7" t="n">
        <v>936.5</v>
      </c>
    </row>
    <row r="247">
      <c r="A247" s="6" t="n"/>
      <c r="B247" s="6" t="inlineStr">
        <is>
          <t>A-EL DPCH</t>
        </is>
      </c>
      <c r="C247" s="6" t="n"/>
      <c r="D247" s="7" t="n">
        <v>135</v>
      </c>
      <c r="E247" s="7" t="n">
        <v>15.25</v>
      </c>
      <c r="F247" s="7" t="n">
        <v>0</v>
      </c>
      <c r="G247" s="7" t="n">
        <v>0</v>
      </c>
      <c r="H247" s="7" t="n">
        <v>150.25</v>
      </c>
    </row>
    <row r="248">
      <c r="A248" s="6" t="n"/>
      <c r="B248" s="6" t="inlineStr">
        <is>
          <t>A-EL PKNG</t>
        </is>
      </c>
      <c r="C248" s="6" t="n"/>
      <c r="D248" s="7" t="n">
        <v>2623.25</v>
      </c>
      <c r="E248" s="7" t="n">
        <v>58.5</v>
      </c>
      <c r="F248" s="7" t="n">
        <v>20.5</v>
      </c>
      <c r="G248" s="7" t="n">
        <v>0</v>
      </c>
      <c r="H248" s="7" t="n">
        <v>2702.25</v>
      </c>
    </row>
    <row r="249">
      <c r="A249" s="6" t="n"/>
      <c r="B249" s="6" t="inlineStr">
        <is>
          <t>A-EL PROD</t>
        </is>
      </c>
      <c r="C249" s="6" t="n"/>
      <c r="D249" s="7" t="n">
        <v>3398.25</v>
      </c>
      <c r="E249" s="7" t="n">
        <v>83</v>
      </c>
      <c r="F249" s="7" t="n">
        <v>39.5</v>
      </c>
      <c r="G249" s="7" t="n">
        <v>0</v>
      </c>
      <c r="H249" s="7" t="n">
        <v>3520.75</v>
      </c>
    </row>
    <row r="250">
      <c r="A250" s="6" t="n"/>
      <c r="B250" s="6" t="inlineStr">
        <is>
          <t>A-EL TECH</t>
        </is>
      </c>
      <c r="C250" s="6" t="n"/>
      <c r="D250" s="7" t="n">
        <v>178.5</v>
      </c>
      <c r="E250" s="7" t="n">
        <v>8</v>
      </c>
      <c r="F250" s="7" t="n">
        <v>0</v>
      </c>
      <c r="G250" s="7" t="n">
        <v>0</v>
      </c>
      <c r="H250" s="7" t="n">
        <v>186.5</v>
      </c>
    </row>
    <row r="251">
      <c r="A251" s="6" t="n"/>
      <c r="B251" s="6" t="inlineStr">
        <is>
          <t>A-EL WRHS</t>
        </is>
      </c>
      <c r="C251" s="6" t="n"/>
      <c r="D251" s="7" t="n">
        <v>38.25</v>
      </c>
      <c r="E251" s="7" t="n">
        <v>0</v>
      </c>
      <c r="F251" s="7" t="n">
        <v>0</v>
      </c>
      <c r="G251" s="7" t="n">
        <v>0</v>
      </c>
      <c r="H251" s="7" t="n">
        <v>38.25</v>
      </c>
    </row>
    <row r="252">
      <c r="A252" s="6" t="n"/>
      <c r="B252" s="6" t="inlineStr">
        <is>
          <t>A-PM PKNG</t>
        </is>
      </c>
      <c r="C252" s="6" t="n"/>
      <c r="D252" s="7" t="n">
        <v>147</v>
      </c>
      <c r="E252" s="7" t="n">
        <v>7.75</v>
      </c>
      <c r="F252" s="7" t="n">
        <v>6.75</v>
      </c>
      <c r="G252" s="7" t="n">
        <v>0</v>
      </c>
      <c r="H252" s="7" t="n">
        <v>161.5</v>
      </c>
    </row>
    <row r="253">
      <c r="A253" s="6" t="n"/>
      <c r="B253" s="6" t="inlineStr">
        <is>
          <t>A-RS PKNG</t>
        </is>
      </c>
      <c r="C253" s="6" t="n"/>
      <c r="D253" s="7" t="n">
        <v>106.5</v>
      </c>
      <c r="E253" s="7" t="n">
        <v>0.5</v>
      </c>
      <c r="F253" s="7" t="n">
        <v>0</v>
      </c>
      <c r="G253" s="7" t="n">
        <v>0</v>
      </c>
      <c r="H253" s="7" t="n">
        <v>107</v>
      </c>
    </row>
    <row r="254">
      <c r="A254" s="6" t="n"/>
      <c r="B254" s="6" t="inlineStr">
        <is>
          <t>A-RS PROD</t>
        </is>
      </c>
      <c r="C254" s="6" t="n"/>
      <c r="D254" s="7" t="n">
        <v>190</v>
      </c>
      <c r="E254" s="7" t="n">
        <v>0</v>
      </c>
      <c r="F254" s="7" t="n">
        <v>0</v>
      </c>
      <c r="G254" s="7" t="n">
        <v>0</v>
      </c>
      <c r="H254" s="7" t="n">
        <v>190</v>
      </c>
    </row>
    <row r="255">
      <c r="A255" s="6" t="n"/>
      <c r="B255" s="6" t="inlineStr">
        <is>
          <t>CLNR</t>
        </is>
      </c>
      <c r="C255" s="6" t="n"/>
      <c r="D255" s="7" t="n">
        <v>753.75</v>
      </c>
      <c r="E255" s="7" t="n">
        <v>124.5</v>
      </c>
      <c r="F255" s="7" t="n">
        <v>39.75</v>
      </c>
      <c r="G255" s="7" t="n">
        <v>48</v>
      </c>
      <c r="H255" s="7" t="n">
        <v>966</v>
      </c>
    </row>
    <row r="256">
      <c r="A256" s="6" t="n"/>
      <c r="B256" s="6" t="inlineStr">
        <is>
          <t>DPCH</t>
        </is>
      </c>
      <c r="C256" s="6" t="n"/>
      <c r="D256" s="7" t="n">
        <v>157</v>
      </c>
      <c r="E256" s="7" t="n">
        <v>113.75</v>
      </c>
      <c r="F256" s="7" t="n">
        <v>0</v>
      </c>
      <c r="G256" s="7" t="n">
        <v>8</v>
      </c>
      <c r="H256" s="7" t="n">
        <v>278.75</v>
      </c>
    </row>
    <row r="257">
      <c r="A257" s="6" t="n"/>
      <c r="B257" s="6" t="inlineStr">
        <is>
          <t>OFCE</t>
        </is>
      </c>
      <c r="C257" s="6" t="n"/>
      <c r="D257" s="7" t="n">
        <v>1787</v>
      </c>
      <c r="E257" s="7" t="n">
        <v>165.5</v>
      </c>
      <c r="F257" s="7" t="n">
        <v>2.75</v>
      </c>
      <c r="G257" s="7" t="n">
        <v>280</v>
      </c>
      <c r="H257" s="7" t="n">
        <v>2235.25</v>
      </c>
    </row>
    <row r="258">
      <c r="A258" s="6" t="n"/>
      <c r="B258" s="6" t="inlineStr">
        <is>
          <t>PKNG</t>
        </is>
      </c>
      <c r="C258" s="6" t="n"/>
      <c r="D258" s="7" t="n">
        <v>2883.75</v>
      </c>
      <c r="E258" s="7" t="n">
        <v>319.25</v>
      </c>
      <c r="F258" s="7" t="n">
        <v>20.25</v>
      </c>
      <c r="G258" s="7" t="n">
        <v>344</v>
      </c>
      <c r="H258" s="7" t="n">
        <v>3567.25</v>
      </c>
    </row>
    <row r="259">
      <c r="A259" s="6" t="n"/>
      <c r="B259" s="6" t="inlineStr">
        <is>
          <t>PROD</t>
        </is>
      </c>
      <c r="C259" s="6" t="n"/>
      <c r="D259" s="7" t="n">
        <v>5397</v>
      </c>
      <c r="E259" s="7" t="n">
        <v>322.5</v>
      </c>
      <c r="F259" s="7" t="n">
        <v>42.25</v>
      </c>
      <c r="G259" s="7" t="n">
        <v>632</v>
      </c>
      <c r="H259" s="7" t="n">
        <v>6393.75</v>
      </c>
    </row>
    <row r="260">
      <c r="A260" s="6" t="n"/>
      <c r="B260" s="6" t="inlineStr">
        <is>
          <t>TECH</t>
        </is>
      </c>
      <c r="C260" s="6" t="n"/>
      <c r="D260" s="7" t="n">
        <v>723.75</v>
      </c>
      <c r="E260" s="7" t="n">
        <v>65.75</v>
      </c>
      <c r="F260" s="7" t="n">
        <v>0</v>
      </c>
      <c r="G260" s="7" t="n">
        <v>60</v>
      </c>
      <c r="H260" s="7" t="n">
        <v>849.5</v>
      </c>
    </row>
    <row r="261">
      <c r="A261" s="6" t="n"/>
      <c r="B261" s="6" t="inlineStr">
        <is>
          <t>WRHS</t>
        </is>
      </c>
      <c r="C261" s="6" t="n"/>
      <c r="D261" s="7" t="n">
        <v>540.75</v>
      </c>
      <c r="E261" s="7" t="n">
        <v>83.75</v>
      </c>
      <c r="F261" s="7" t="n">
        <v>56.5</v>
      </c>
      <c r="G261" s="7" t="n">
        <v>56</v>
      </c>
      <c r="H261" s="7" t="n">
        <v>737</v>
      </c>
    </row>
    <row r="263">
      <c r="A263" s="3" t="inlineStr">
        <is>
          <t>Month total — Gazebo vs agency</t>
        </is>
      </c>
    </row>
    <row r="264">
      <c r="A264" s="4" t="inlineStr">
        <is>
          <t>Sum of weekly EMP/AGENCY/TOTAL rows across all uploaded weeks.</t>
        </is>
      </c>
    </row>
    <row r="265">
      <c r="B265" s="5" t="inlineStr">
        <is>
          <t>Category</t>
        </is>
      </c>
      <c r="C265" s="5" t="n"/>
      <c r="D265" s="5" t="inlineStr">
        <is>
          <t>Basic hours</t>
        </is>
      </c>
      <c r="E265" s="5" t="inlineStr">
        <is>
          <t>Mon–Fri overtime</t>
        </is>
      </c>
      <c r="F265" s="5" t="inlineStr">
        <is>
          <t>Sat/Sun overtime</t>
        </is>
      </c>
      <c r="G265" s="5" t="inlineStr">
        <is>
          <t>Annual holiday</t>
        </is>
      </c>
      <c r="H265" s="5" t="inlineStr">
        <is>
          <t>Total paid hours</t>
        </is>
      </c>
    </row>
    <row r="266">
      <c r="B266" s="6" t="inlineStr">
        <is>
          <t>MONTHLY</t>
        </is>
      </c>
      <c r="C266" s="6" t="inlineStr">
        <is>
          <t>EMP</t>
        </is>
      </c>
      <c r="D266" s="7">
        <f>'Week1'!D260+'Week2'!D264+'Week3'!D267+'Week4'!D271</f>
        <v/>
      </c>
      <c r="E266" s="7">
        <f>'Week1'!E260+'Week2'!E264+'Week3'!E267+'Week4'!E271</f>
        <v/>
      </c>
      <c r="F266" s="7">
        <f>'Week1'!F260+'Week2'!F264+'Week3'!F267+'Week4'!F271</f>
        <v/>
      </c>
      <c r="G266" s="7">
        <f>'Week1'!G260+'Week2'!G264+'Week3'!G267+'Week4'!G271</f>
        <v/>
      </c>
      <c r="H266" s="7">
        <f>'Week1'!H260+'Week2'!H264+'Week3'!H267+'Week4'!H271</f>
        <v/>
      </c>
    </row>
    <row r="267">
      <c r="B267" s="6" t="n"/>
      <c r="C267" s="6" t="inlineStr">
        <is>
          <t>AGENCY</t>
        </is>
      </c>
      <c r="D267" s="7">
        <f>'Week1'!D261+'Week2'!D265+'Week3'!D268+'Week4'!D272</f>
        <v/>
      </c>
      <c r="E267" s="7">
        <f>'Week1'!E261+'Week2'!E265+'Week3'!E268+'Week4'!E272</f>
        <v/>
      </c>
      <c r="F267" s="7">
        <f>'Week1'!F261+'Week2'!F265+'Week3'!F268+'Week4'!F272</f>
        <v/>
      </c>
      <c r="G267" s="7">
        <f>'Week1'!G261+'Week2'!G265+'Week3'!G268+'Week4'!G272</f>
        <v/>
      </c>
      <c r="H267" s="7">
        <f>'Week1'!H261+'Week2'!H265+'Week3'!H268+'Week4'!H272</f>
        <v/>
      </c>
    </row>
    <row r="268">
      <c r="B268" s="6" t="n"/>
      <c r="C268" s="6" t="inlineStr">
        <is>
          <t>TOTAL</t>
        </is>
      </c>
      <c r="D268" s="7">
        <f>'Week1'!D262+'Week2'!D266+'Week3'!D269+'Week4'!D273</f>
        <v/>
      </c>
      <c r="E268" s="7">
        <f>'Week1'!E262+'Week2'!E266+'Week3'!E269+'Week4'!E273</f>
        <v/>
      </c>
      <c r="F268" s="7">
        <f>'Week1'!F262+'Week2'!F266+'Week3'!F269+'Week4'!F273</f>
        <v/>
      </c>
      <c r="G268" s="7">
        <f>'Week1'!G262+'Week2'!G266+'Week3'!G269+'Week4'!G273</f>
        <v/>
      </c>
      <c r="H268" s="7">
        <f>'Week1'!H262+'Week2'!H266+'Week3'!H269+'Week4'!H273</f>
        <v/>
      </c>
    </row>
    <row r="270">
      <c r="A270" s="3" t="inlineStr">
        <is>
          <t>Per-week Gazebo vs agency</t>
        </is>
      </c>
    </row>
    <row r="271">
      <c r="A271" s="4" t="inlineStr">
        <is>
          <t>Each row references the matching EMP/AGENCY/TOTAL cells on the Week sheet.</t>
        </is>
      </c>
    </row>
    <row r="272">
      <c r="B272" s="5" t="inlineStr">
        <is>
          <t>Category</t>
        </is>
      </c>
      <c r="C272" s="5" t="n"/>
      <c r="D272" s="5" t="inlineStr">
        <is>
          <t>Basic hours</t>
        </is>
      </c>
      <c r="E272" s="5" t="inlineStr">
        <is>
          <t>Mon–Fri overtime</t>
        </is>
      </c>
      <c r="F272" s="5" t="inlineStr">
        <is>
          <t>Sat/Sun overtime</t>
        </is>
      </c>
      <c r="G272" s="5" t="inlineStr">
        <is>
          <t>Annual holiday</t>
        </is>
      </c>
      <c r="H272" s="5" t="inlineStr">
        <is>
          <t>Total paid hours</t>
        </is>
      </c>
    </row>
    <row r="273">
      <c r="B273" s="6" t="inlineStr">
        <is>
          <t>Weekly</t>
        </is>
      </c>
      <c r="C273" s="6" t="inlineStr">
        <is>
          <t>EMP</t>
        </is>
      </c>
      <c r="D273" s="7">
        <f>'Week1'!D260</f>
        <v/>
      </c>
      <c r="E273" s="7">
        <f>'Week1'!E260</f>
        <v/>
      </c>
      <c r="F273" s="7">
        <f>'Week1'!F260</f>
        <v/>
      </c>
      <c r="G273" s="7">
        <f>'Week1'!G260</f>
        <v/>
      </c>
      <c r="H273" s="7">
        <f>'Week1'!H260</f>
        <v/>
      </c>
    </row>
    <row r="274">
      <c r="B274" s="6" t="n"/>
      <c r="C274" s="6" t="inlineStr">
        <is>
          <t>AGENCY</t>
        </is>
      </c>
      <c r="D274" s="7">
        <f>'Week1'!D261</f>
        <v/>
      </c>
      <c r="E274" s="7">
        <f>'Week1'!E261</f>
        <v/>
      </c>
      <c r="F274" s="7">
        <f>'Week1'!F261</f>
        <v/>
      </c>
      <c r="G274" s="7">
        <f>'Week1'!G261</f>
        <v/>
      </c>
      <c r="H274" s="7">
        <f>'Week1'!H261</f>
        <v/>
      </c>
    </row>
    <row r="275">
      <c r="B275" s="6" t="n"/>
      <c r="C275" s="6" t="inlineStr">
        <is>
          <t>TOTAL</t>
        </is>
      </c>
      <c r="D275" s="7">
        <f>'Week1'!D262</f>
        <v/>
      </c>
      <c r="E275" s="7">
        <f>'Week1'!E262</f>
        <v/>
      </c>
      <c r="F275" s="7">
        <f>'Week1'!F262</f>
        <v/>
      </c>
      <c r="G275" s="7">
        <f>'Week1'!G262</f>
        <v/>
      </c>
      <c r="H275" s="7">
        <f>'Week1'!H262</f>
        <v/>
      </c>
    </row>
    <row r="277">
      <c r="B277" s="5" t="inlineStr">
        <is>
          <t>Category</t>
        </is>
      </c>
      <c r="C277" s="5" t="n"/>
      <c r="D277" s="5" t="inlineStr">
        <is>
          <t>Basic hours</t>
        </is>
      </c>
      <c r="E277" s="5" t="inlineStr">
        <is>
          <t>Mon–Fri overtime</t>
        </is>
      </c>
      <c r="F277" s="5" t="inlineStr">
        <is>
          <t>Sat/Sun overtime</t>
        </is>
      </c>
      <c r="G277" s="5" t="inlineStr">
        <is>
          <t>Annual holiday</t>
        </is>
      </c>
      <c r="H277" s="5" t="inlineStr">
        <is>
          <t>Total paid hours</t>
        </is>
      </c>
    </row>
    <row r="278">
      <c r="B278" s="6" t="n"/>
      <c r="C278" s="6" t="inlineStr">
        <is>
          <t>EMP</t>
        </is>
      </c>
      <c r="D278" s="7">
        <f>'Week2'!D264</f>
        <v/>
      </c>
      <c r="E278" s="7">
        <f>'Week2'!E264</f>
        <v/>
      </c>
      <c r="F278" s="7">
        <f>'Week2'!F264</f>
        <v/>
      </c>
      <c r="G278" s="7">
        <f>'Week2'!G264</f>
        <v/>
      </c>
      <c r="H278" s="7">
        <f>'Week2'!H264</f>
        <v/>
      </c>
    </row>
    <row r="279">
      <c r="B279" s="6" t="n"/>
      <c r="C279" s="6" t="inlineStr">
        <is>
          <t>AGENCY</t>
        </is>
      </c>
      <c r="D279" s="7">
        <f>'Week2'!D265</f>
        <v/>
      </c>
      <c r="E279" s="7">
        <f>'Week2'!E265</f>
        <v/>
      </c>
      <c r="F279" s="7">
        <f>'Week2'!F265</f>
        <v/>
      </c>
      <c r="G279" s="7">
        <f>'Week2'!G265</f>
        <v/>
      </c>
      <c r="H279" s="7">
        <f>'Week2'!H265</f>
        <v/>
      </c>
    </row>
    <row r="280">
      <c r="B280" s="6" t="n"/>
      <c r="C280" s="6" t="inlineStr">
        <is>
          <t>TOTAL</t>
        </is>
      </c>
      <c r="D280" s="7">
        <f>'Week2'!D266</f>
        <v/>
      </c>
      <c r="E280" s="7">
        <f>'Week2'!E266</f>
        <v/>
      </c>
      <c r="F280" s="7">
        <f>'Week2'!F266</f>
        <v/>
      </c>
      <c r="G280" s="7">
        <f>'Week2'!G266</f>
        <v/>
      </c>
      <c r="H280" s="7">
        <f>'Week2'!H266</f>
        <v/>
      </c>
    </row>
    <row r="282">
      <c r="B282" s="5" t="inlineStr">
        <is>
          <t>Category</t>
        </is>
      </c>
      <c r="C282" s="5" t="n"/>
      <c r="D282" s="5" t="inlineStr">
        <is>
          <t>Basic hours</t>
        </is>
      </c>
      <c r="E282" s="5" t="inlineStr">
        <is>
          <t>Mon–Fri overtime</t>
        </is>
      </c>
      <c r="F282" s="5" t="inlineStr">
        <is>
          <t>Sat/Sun overtime</t>
        </is>
      </c>
      <c r="G282" s="5" t="inlineStr">
        <is>
          <t>Annual holiday</t>
        </is>
      </c>
      <c r="H282" s="5" t="inlineStr">
        <is>
          <t>Total paid hours</t>
        </is>
      </c>
    </row>
    <row r="283">
      <c r="B283" s="6" t="n"/>
      <c r="C283" s="6" t="inlineStr">
        <is>
          <t>EMP</t>
        </is>
      </c>
      <c r="D283" s="7">
        <f>'Week3'!D267</f>
        <v/>
      </c>
      <c r="E283" s="7">
        <f>'Week3'!E267</f>
        <v/>
      </c>
      <c r="F283" s="7">
        <f>'Week3'!F267</f>
        <v/>
      </c>
      <c r="G283" s="7">
        <f>'Week3'!G267</f>
        <v/>
      </c>
      <c r="H283" s="7">
        <f>'Week3'!H267</f>
        <v/>
      </c>
    </row>
    <row r="284">
      <c r="B284" s="6" t="n"/>
      <c r="C284" s="6" t="inlineStr">
        <is>
          <t>AGENCY</t>
        </is>
      </c>
      <c r="D284" s="7">
        <f>'Week3'!D268</f>
        <v/>
      </c>
      <c r="E284" s="7">
        <f>'Week3'!E268</f>
        <v/>
      </c>
      <c r="F284" s="7">
        <f>'Week3'!F268</f>
        <v/>
      </c>
      <c r="G284" s="7">
        <f>'Week3'!G268</f>
        <v/>
      </c>
      <c r="H284" s="7">
        <f>'Week3'!H268</f>
        <v/>
      </c>
    </row>
    <row r="285">
      <c r="B285" s="6" t="n"/>
      <c r="C285" s="6" t="inlineStr">
        <is>
          <t>TOTAL</t>
        </is>
      </c>
      <c r="D285" s="7">
        <f>'Week3'!D269</f>
        <v/>
      </c>
      <c r="E285" s="7">
        <f>'Week3'!E269</f>
        <v/>
      </c>
      <c r="F285" s="7">
        <f>'Week3'!F269</f>
        <v/>
      </c>
      <c r="G285" s="7">
        <f>'Week3'!G269</f>
        <v/>
      </c>
      <c r="H285" s="7">
        <f>'Week3'!H269</f>
        <v/>
      </c>
    </row>
    <row r="287">
      <c r="B287" s="5" t="inlineStr">
        <is>
          <t>Category</t>
        </is>
      </c>
      <c r="C287" s="5" t="n"/>
      <c r="D287" s="5" t="inlineStr">
        <is>
          <t>Basic hours</t>
        </is>
      </c>
      <c r="E287" s="5" t="inlineStr">
        <is>
          <t>Mon–Fri overtime</t>
        </is>
      </c>
      <c r="F287" s="5" t="inlineStr">
        <is>
          <t>Sat/Sun overtime</t>
        </is>
      </c>
      <c r="G287" s="5" t="inlineStr">
        <is>
          <t>Annual holiday</t>
        </is>
      </c>
      <c r="H287" s="5" t="inlineStr">
        <is>
          <t>Total paid hours</t>
        </is>
      </c>
    </row>
    <row r="288">
      <c r="B288" s="6" t="n"/>
      <c r="C288" s="6" t="inlineStr">
        <is>
          <t>EMP</t>
        </is>
      </c>
      <c r="D288" s="7">
        <f>'Week4'!D271</f>
        <v/>
      </c>
      <c r="E288" s="7">
        <f>'Week4'!E271</f>
        <v/>
      </c>
      <c r="F288" s="7">
        <f>'Week4'!F271</f>
        <v/>
      </c>
      <c r="G288" s="7">
        <f>'Week4'!G271</f>
        <v/>
      </c>
      <c r="H288" s="7">
        <f>'Week4'!H271</f>
        <v/>
      </c>
    </row>
    <row r="289">
      <c r="B289" s="6" t="n"/>
      <c r="C289" s="6" t="inlineStr">
        <is>
          <t>AGENCY</t>
        </is>
      </c>
      <c r="D289" s="7">
        <f>'Week4'!D272</f>
        <v/>
      </c>
      <c r="E289" s="7">
        <f>'Week4'!E272</f>
        <v/>
      </c>
      <c r="F289" s="7">
        <f>'Week4'!F272</f>
        <v/>
      </c>
      <c r="G289" s="7">
        <f>'Week4'!G272</f>
        <v/>
      </c>
      <c r="H289" s="7">
        <f>'Week4'!H272</f>
        <v/>
      </c>
    </row>
    <row r="290">
      <c r="B290" s="6" t="n"/>
      <c r="C290" s="6" t="inlineStr">
        <is>
          <t>TOTAL</t>
        </is>
      </c>
      <c r="D290" s="7">
        <f>'Week4'!D273</f>
        <v/>
      </c>
      <c r="E290" s="7">
        <f>'Week4'!E273</f>
        <v/>
      </c>
      <c r="F290" s="7">
        <f>'Week4'!F273</f>
        <v/>
      </c>
      <c r="G290" s="7">
        <f>'Week4'!G273</f>
        <v/>
      </c>
      <c r="H290" s="7">
        <f>'Week4'!H273</f>
        <v/>
      </c>
    </row>
    <row r="292">
      <c r="A292" s="3" t="inlineStr">
        <is>
          <t>Reconciliation difference</t>
        </is>
      </c>
    </row>
    <row r="293">
      <c r="A293" s="4" t="inlineStr">
        <is>
          <t>Merged employees vs MONTHLY row (EMP/AGENCY) and vs sum of week TOTAL rows.</t>
        </is>
      </c>
    </row>
    <row r="294">
      <c r="B294" s="5" t="inlineStr">
        <is>
          <t>Category</t>
        </is>
      </c>
      <c r="C294" s="5" t="n"/>
      <c r="D294" s="5" t="inlineStr">
        <is>
          <t>Basic hours</t>
        </is>
      </c>
      <c r="E294" s="5" t="inlineStr">
        <is>
          <t>Mon–Fri overtime</t>
        </is>
      </c>
      <c r="F294" s="5" t="inlineStr">
        <is>
          <t>Sat/Sun overtime</t>
        </is>
      </c>
      <c r="G294" s="5" t="inlineStr">
        <is>
          <t>Annual holiday</t>
        </is>
      </c>
      <c r="H294" s="5" t="inlineStr">
        <is>
          <t>Total paid hours</t>
        </is>
      </c>
    </row>
    <row r="295">
      <c r="B295" s="6" t="inlineStr">
        <is>
          <t>Merged (employees)</t>
        </is>
      </c>
      <c r="C295" s="6" t="inlineStr">
        <is>
          <t>EMP</t>
        </is>
      </c>
      <c r="D295" s="7">
        <f>SUM($D$7:$D$211)-D296</f>
        <v/>
      </c>
      <c r="E295" s="7">
        <f>SUM($E$7:$E$211)-E296</f>
        <v/>
      </c>
      <c r="F295" s="7">
        <f>SUM($F$7:$F$211)-F296</f>
        <v/>
      </c>
      <c r="G295" s="7">
        <f>SUM($G$7:$G$211)-G296</f>
        <v/>
      </c>
      <c r="H295" s="7">
        <f>SUM($H$7:$H$211)-H296</f>
        <v/>
      </c>
    </row>
    <row r="296">
      <c r="B296" s="6" t="n"/>
      <c r="C296" s="6" t="inlineStr">
        <is>
          <t>AGENCY</t>
        </is>
      </c>
      <c r="D296" s="7">
        <f>SUMPRODUCT((LEFT($B$7:$B$211,2)="A-")*($D$7:$D$211))</f>
        <v/>
      </c>
      <c r="E296" s="7">
        <f>SUMPRODUCT((LEFT($B$7:$B$211,2)="A-")*($E$7:$E$211))</f>
        <v/>
      </c>
      <c r="F296" s="7">
        <f>SUMPRODUCT((LEFT($B$7:$B$211,2)="A-")*($F$7:$F$211))</f>
        <v/>
      </c>
      <c r="G296" s="7">
        <f>SUMPRODUCT((LEFT($B$7:$B$211,2)="A-")*($G$7:$G$211))</f>
        <v/>
      </c>
      <c r="H296" s="7">
        <f>SUMPRODUCT((LEFT($B$7:$B$211,2)="A-")*($H$7:$H$211))</f>
        <v/>
      </c>
    </row>
    <row r="297">
      <c r="B297" s="6" t="n"/>
      <c r="C297" s="6" t="inlineStr">
        <is>
          <t>TOTAL</t>
        </is>
      </c>
      <c r="D297" s="7">
        <f>D295+D296</f>
        <v/>
      </c>
      <c r="E297" s="7">
        <f>E295+E296</f>
        <v/>
      </c>
      <c r="F297" s="7">
        <f>F295+F296</f>
        <v/>
      </c>
      <c r="G297" s="7">
        <f>G295+G296</f>
        <v/>
      </c>
      <c r="H297" s="7">
        <f>H295+H296</f>
        <v/>
      </c>
    </row>
    <row r="298">
      <c r="B298" s="6" t="inlineStr">
        <is>
          <t>Diff</t>
        </is>
      </c>
      <c r="C298" s="6" t="inlineStr">
        <is>
          <t>EMP</t>
        </is>
      </c>
      <c r="D298" s="7">
        <f>D295-D266</f>
        <v/>
      </c>
      <c r="E298" s="7">
        <f>E295-E266</f>
        <v/>
      </c>
      <c r="F298" s="7">
        <f>F295-F266</f>
        <v/>
      </c>
      <c r="G298" s="7">
        <f>G295-G266</f>
        <v/>
      </c>
      <c r="H298" s="7">
        <f>H295-H266</f>
        <v/>
      </c>
    </row>
    <row r="299">
      <c r="B299" s="6" t="n"/>
      <c r="C299" s="6" t="inlineStr">
        <is>
          <t>AGENCY</t>
        </is>
      </c>
      <c r="D299" s="7">
        <f>D296-D267</f>
        <v/>
      </c>
      <c r="E299" s="7">
        <f>E296-E267</f>
        <v/>
      </c>
      <c r="F299" s="7">
        <f>F296-F267</f>
        <v/>
      </c>
      <c r="G299" s="7">
        <f>G296-G267</f>
        <v/>
      </c>
      <c r="H299" s="7">
        <f>H296-H267</f>
        <v/>
      </c>
    </row>
    <row r="300">
      <c r="B300" s="6" t="n"/>
      <c r="C300" s="6" t="inlineStr">
        <is>
          <t>TOTAL</t>
        </is>
      </c>
      <c r="D300" s="7">
        <f>D297-'Week1'!D262+'Week2'!D266+'Week3'!D269+'Week4'!D273</f>
        <v/>
      </c>
      <c r="E300" s="7">
        <f>E297-'Week1'!E262+'Week2'!E266+'Week3'!E269+'Week4'!E273</f>
        <v/>
      </c>
      <c r="F300" s="7">
        <f>F297-'Week1'!F262+'Week2'!F266+'Week3'!F269+'Week4'!F273</f>
        <v/>
      </c>
      <c r="G300" s="7">
        <f>G297-'Week1'!G262+'Week2'!G266+'Week3'!G269+'Week4'!G273</f>
        <v/>
      </c>
      <c r="H300" s="7">
        <f>H297-'Week1'!H262+'Week2'!H266+'Week3'!H269+'Week4'!H273</f>
        <v/>
      </c>
    </row>
  </sheetData>
  <mergeCells count="14">
    <mergeCell ref="A1:H1"/>
    <mergeCell ref="A4:H4"/>
    <mergeCell ref="A244:H244"/>
    <mergeCell ref="A270:H270"/>
    <mergeCell ref="A271:H271"/>
    <mergeCell ref="A293:H293"/>
    <mergeCell ref="A2:H2"/>
    <mergeCell ref="A243:H243"/>
    <mergeCell ref="A213:H213"/>
    <mergeCell ref="A292:H292"/>
    <mergeCell ref="A264:H264"/>
    <mergeCell ref="A5:H5"/>
    <mergeCell ref="A263:H263"/>
    <mergeCell ref="A214:H2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2026-06-05T10:54:21Z</dcterms:created>
  <dcterms:modified xsi:type="dcterms:W3CDTF">2026-06-05T10:54:21Z</dcterms:modified>
</cp:coreProperties>
</file>